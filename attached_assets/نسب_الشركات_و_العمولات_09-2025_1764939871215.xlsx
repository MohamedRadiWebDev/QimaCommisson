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ThisWorkbook" defaultThemeVersion="124226"/>
  <xr:revisionPtr revIDLastSave="0" documentId="13_ncr:1_{690D6D4D-5527-46CC-B6F5-BC25BB92A35F}" xr6:coauthVersionLast="47" xr6:coauthVersionMax="47" xr10:uidLastSave="{00000000-0000-0000-0000-000000000000}"/>
  <bookViews>
    <workbookView xWindow="-120" yWindow="-120" windowWidth="24240" windowHeight="13140" tabRatio="862" firstSheet="14" activeTab="29" xr2:uid="{00000000-000D-0000-FFFF-FFFF00000000}"/>
  </bookViews>
  <sheets>
    <sheet name="symple" sheetId="3" r:id="rId1"/>
    <sheet name="RAya" sheetId="4" r:id="rId2"/>
    <sheet name="Blnk" sheetId="5" state="hidden" r:id="rId3"/>
    <sheet name="AMan" sheetId="7" state="hidden" r:id="rId4"/>
    <sheet name="VALU" sheetId="8" state="hidden" r:id="rId5"/>
    <sheet name="VALU NEW " sheetId="11" r:id="rId6"/>
    <sheet name="Money fellows" sheetId="9" state="hidden" r:id="rId7"/>
    <sheet name="MONEY  " sheetId="12" state="hidden" r:id="rId8"/>
    <sheet name="ALX bank " sheetId="10" state="hidden" r:id="rId9"/>
    <sheet name="ALX bank  (2)" sheetId="42" r:id="rId10"/>
    <sheet name="كريدى اجريكول " sheetId="13" r:id="rId11"/>
    <sheet name="Mogo" sheetId="14" r:id="rId12"/>
    <sheet name="Souhoola" sheetId="16" r:id="rId13"/>
    <sheet name="MONEY " sheetId="17" state="hidden" r:id="rId14"/>
    <sheet name="MONEY NEW " sheetId="31" r:id="rId15"/>
    <sheet name="MONEY NEW  (2)" sheetId="43" state="hidden" r:id="rId16"/>
    <sheet name="Tanmeyah" sheetId="19" r:id="rId17"/>
    <sheet name="كريدى اجريكول  Active" sheetId="20" state="hidden" r:id="rId18"/>
    <sheet name="وسيلة (تنفيذ)" sheetId="21" r:id="rId19"/>
    <sheet name="وسيلة (تحصيل)" sheetId="22" r:id="rId20"/>
    <sheet name="سفن تحصيل " sheetId="30" r:id="rId21"/>
    <sheet name="Tanmeyah قانونية" sheetId="23" r:id="rId22"/>
    <sheet name="سفن تحصيل.." sheetId="24" state="hidden" r:id="rId23"/>
    <sheet name="سفن تحصيل ..." sheetId="28" state="hidden" r:id="rId24"/>
    <sheet name="Fawry " sheetId="27" state="hidden" r:id="rId25"/>
    <sheet name="Fawry  " sheetId="29" r:id="rId26"/>
    <sheet name="Halan" sheetId="38" r:id="rId27"/>
    <sheet name="Halan (2)" sheetId="39" r:id="rId28"/>
    <sheet name="Halan (3)" sheetId="40" r:id="rId29"/>
    <sheet name="اراده" sheetId="47" r:id="rId30"/>
    <sheet name="ميد بنك" sheetId="44" r:id="rId31"/>
    <sheet name="ميد بنك (2)" sheetId="45" state="hidden" r:id="rId32"/>
    <sheet name="Contest" sheetId="41" r:id="rId33"/>
    <sheet name="الحافز" sheetId="46" r:id="rId34"/>
  </sheets>
  <definedNames>
    <definedName name="_xlnm.Print_Area" localSheetId="8">'ALX bank '!$A$1:$E$45</definedName>
    <definedName name="_xlnm.Print_Area" localSheetId="9">'ALX bank  (2)'!$A$1:$F$45</definedName>
    <definedName name="_xlnm.Print_Area" localSheetId="3">AMan!$A$1:$E$35</definedName>
    <definedName name="_xlnm.Print_Area" localSheetId="2">Blnk!$A$1:$E$36</definedName>
    <definedName name="_xlnm.Print_Area" localSheetId="32">Contest!$A$1:$F$45</definedName>
    <definedName name="_xlnm.Print_Area" localSheetId="24">'Fawry '!$A$1:$E$54</definedName>
    <definedName name="_xlnm.Print_Area" localSheetId="25">'Fawry  '!$A$1:$E$54</definedName>
    <definedName name="_xlnm.Print_Area" localSheetId="26">Halan!$A$1:$G$38</definedName>
    <definedName name="_xlnm.Print_Area" localSheetId="27">'Halan (2)'!$A$1:$G$34</definedName>
    <definedName name="_xlnm.Print_Area" localSheetId="28">'Halan (3)'!$A$1:$G$34</definedName>
    <definedName name="_xlnm.Print_Area" localSheetId="11">Mogo!$A$1:$F$43</definedName>
    <definedName name="_xlnm.Print_Area" localSheetId="13">'MONEY '!$A$1:$F$38</definedName>
    <definedName name="_xlnm.Print_Area" localSheetId="7">'MONEY  '!$A$1:$H$38</definedName>
    <definedName name="_xlnm.Print_Area" localSheetId="6">'Money fellows'!$A$1:$E$31</definedName>
    <definedName name="_xlnm.Print_Area" localSheetId="14">'MONEY NEW '!$A$1:$H$46</definedName>
    <definedName name="_xlnm.Print_Area" localSheetId="15">'MONEY NEW  (2)'!$A$1:$H$38</definedName>
    <definedName name="_xlnm.Print_Area" localSheetId="1">RAya!$A$1:$F$34</definedName>
    <definedName name="_xlnm.Print_Area" localSheetId="12">Souhoola!$A$1:$F$38</definedName>
    <definedName name="_xlnm.Print_Area" localSheetId="0">symple!$A$1:$F$27</definedName>
    <definedName name="_xlnm.Print_Area" localSheetId="16">Tanmeyah!$A$1:$F$59</definedName>
    <definedName name="_xlnm.Print_Area" localSheetId="21">'Tanmeyah قانونية'!$A$1:$F$34</definedName>
    <definedName name="_xlnm.Print_Area" localSheetId="4">VALU!$A$1:$E$43</definedName>
    <definedName name="_xlnm.Print_Area" localSheetId="5">'VALU NEW '!$A$1:$F$54</definedName>
    <definedName name="_xlnm.Print_Area" localSheetId="29">اراده!$A$1:$F$54</definedName>
    <definedName name="_xlnm.Print_Area" localSheetId="20">'سفن تحصيل '!$A$1:$E$56</definedName>
    <definedName name="_xlnm.Print_Area" localSheetId="23">'سفن تحصيل ...'!$A$1:$E$48</definedName>
    <definedName name="_xlnm.Print_Area" localSheetId="22">'سفن تحصيل..'!$A$1:$E$29</definedName>
    <definedName name="_xlnm.Print_Area" localSheetId="10">'كريدى اجريكول '!$A$1:$F$52</definedName>
    <definedName name="_xlnm.Print_Area" localSheetId="17">'كريدى اجريكول  Active'!$A$1:$F$35</definedName>
    <definedName name="_xlnm.Print_Area" localSheetId="30">'ميد بنك'!$A$1:$E$50</definedName>
    <definedName name="_xlnm.Print_Area" localSheetId="31">'ميد بنك (2)'!$A$1:$J$50</definedName>
    <definedName name="_xlnm.Print_Area" localSheetId="19">'وسيلة (تحصيل)'!$A$1:$E$36</definedName>
    <definedName name="_xlnm.Print_Area" localSheetId="18">'وسيلة (تنفيذ)'!$A$1:$F$35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47" l="1"/>
  <c r="J35" i="47" s="1"/>
  <c r="I34" i="47"/>
  <c r="I35" i="47" s="1"/>
  <c r="R7" i="45" l="1"/>
  <c r="R8" i="45" s="1"/>
  <c r="L7" i="45"/>
  <c r="M7" i="45"/>
  <c r="M8" i="45" s="1"/>
  <c r="N7" i="45"/>
  <c r="N8" i="45" s="1"/>
  <c r="O7" i="45"/>
  <c r="O8" i="45" s="1"/>
  <c r="P7" i="45"/>
  <c r="P8" i="45" s="1"/>
  <c r="Q7" i="45"/>
  <c r="Q8" i="45" s="1"/>
  <c r="R29" i="45"/>
  <c r="R30" i="45" s="1"/>
  <c r="N29" i="45"/>
  <c r="N30" i="45" s="1"/>
  <c r="O29" i="45"/>
  <c r="O30" i="45" s="1"/>
  <c r="P29" i="45"/>
  <c r="P30" i="45" s="1"/>
  <c r="Q29" i="45"/>
  <c r="Q30" i="45" s="1"/>
  <c r="M29" i="45"/>
  <c r="M30" i="45" s="1"/>
  <c r="L29" i="45"/>
  <c r="L30" i="45" s="1"/>
  <c r="K29" i="45"/>
  <c r="K30" i="45" s="1"/>
  <c r="K7" i="45"/>
  <c r="K11" i="43"/>
  <c r="N10" i="43"/>
  <c r="N11" i="43" s="1"/>
  <c r="M10" i="43"/>
  <c r="M11" i="43" s="1"/>
  <c r="L10" i="43"/>
  <c r="L11" i="43" s="1"/>
  <c r="K10" i="43"/>
  <c r="J10" i="43"/>
  <c r="J11" i="43" s="1"/>
  <c r="L8" i="45" l="1"/>
  <c r="K8" i="45"/>
  <c r="C24" i="30" l="1"/>
  <c r="G9" i="28"/>
  <c r="H9" i="28"/>
  <c r="H8" i="28"/>
  <c r="G25" i="28"/>
  <c r="H25" i="28"/>
  <c r="J30" i="27"/>
  <c r="J31" i="27" s="1"/>
  <c r="I30" i="27"/>
  <c r="I31" i="27" s="1"/>
  <c r="J25" i="27"/>
  <c r="J24" i="27"/>
  <c r="I24" i="27"/>
  <c r="I25" i="27" s="1"/>
  <c r="J14" i="27"/>
  <c r="J15" i="27" s="1"/>
  <c r="I14" i="27"/>
  <c r="I15" i="27" s="1"/>
  <c r="H14" i="27"/>
  <c r="H15" i="27" s="1"/>
  <c r="J2" i="27"/>
  <c r="I2" i="27"/>
  <c r="I1" i="27" s="1"/>
  <c r="H2" i="27"/>
  <c r="J1" i="27"/>
  <c r="H1" i="27"/>
  <c r="H24" i="28" l="1"/>
  <c r="G24" i="28"/>
  <c r="G8" i="28"/>
  <c r="D21" i="24"/>
  <c r="C21" i="24"/>
  <c r="H13" i="20" l="1"/>
  <c r="H14" i="20" s="1"/>
  <c r="G13" i="20"/>
  <c r="G14" i="20" s="1"/>
  <c r="D28" i="16"/>
  <c r="E28" i="8" l="1"/>
  <c r="E30" i="8" s="1"/>
  <c r="D28" i="8"/>
  <c r="D30" i="8" s="1"/>
  <c r="C28" i="8"/>
  <c r="C30" i="8" s="1"/>
  <c r="E33" i="8"/>
  <c r="E35" i="8" s="1"/>
  <c r="D33" i="8"/>
  <c r="D35" i="8" s="1"/>
  <c r="C33" i="8"/>
  <c r="C35" i="8" s="1"/>
</calcChain>
</file>

<file path=xl/sharedStrings.xml><?xml version="1.0" encoding="utf-8"?>
<sst xmlns="http://schemas.openxmlformats.org/spreadsheetml/2006/main" count="1478" uniqueCount="205">
  <si>
    <t>Tele</t>
  </si>
  <si>
    <t>Active</t>
  </si>
  <si>
    <t>w/O</t>
  </si>
  <si>
    <t>no</t>
  </si>
  <si>
    <t>T</t>
  </si>
  <si>
    <t>over</t>
  </si>
  <si>
    <t>collector</t>
  </si>
  <si>
    <t>S.V</t>
  </si>
  <si>
    <t>Active/1$2$3</t>
  </si>
  <si>
    <t>Active/4$5$6</t>
  </si>
  <si>
    <t>Buckct(2)</t>
  </si>
  <si>
    <t>Buckct(3)</t>
  </si>
  <si>
    <t>Buckct(5)</t>
  </si>
  <si>
    <t>Bad Debt(12%)</t>
  </si>
  <si>
    <t>tele</t>
  </si>
  <si>
    <t>HEAD</t>
  </si>
  <si>
    <t>W.o</t>
  </si>
  <si>
    <t>SYMPLE</t>
  </si>
  <si>
    <t>RAYA</t>
  </si>
  <si>
    <t>BLNK</t>
  </si>
  <si>
    <t>VALU</t>
  </si>
  <si>
    <t>Flat</t>
  </si>
  <si>
    <t>MONEY FEIIOWS</t>
  </si>
  <si>
    <t xml:space="preserve">الاداره الماليه </t>
  </si>
  <si>
    <t xml:space="preserve">اداره التحصيل </t>
  </si>
  <si>
    <t xml:space="preserve">عقود انتاج </t>
  </si>
  <si>
    <t>عقود انتاج</t>
  </si>
  <si>
    <t>AMAN</t>
  </si>
  <si>
    <t xml:space="preserve">السادة العالمين بالشركه قيمه لخدمات التحصيل </t>
  </si>
  <si>
    <t xml:space="preserve">دليل التعامل مع عمولات بنك الاسكندريه </t>
  </si>
  <si>
    <t xml:space="preserve">دليل التعامل مع عمولات شركه سيمبيل للحلول المتطوره </t>
  </si>
  <si>
    <t xml:space="preserve">المدير المسؤول </t>
  </si>
  <si>
    <t xml:space="preserve">دليل التعامل مع عمولات شركه رايه للالكترونيات </t>
  </si>
  <si>
    <t xml:space="preserve">دليل التعامل مع عمولات شركه امان  للالكترونيات </t>
  </si>
  <si>
    <t>دليل التعامل مع عمولات شركه Money fellows</t>
  </si>
  <si>
    <t>دليل التعامل مع عمولات شركه فاليو</t>
  </si>
  <si>
    <t xml:space="preserve">و يحق للشركه تغير نسب العمولات في أي وقت حسب ما يتناسب مع اراء الاداره </t>
  </si>
  <si>
    <t>و تفضلو بقبول فائق الاحترام....</t>
  </si>
  <si>
    <t>Collector</t>
  </si>
  <si>
    <t>Tell</t>
  </si>
  <si>
    <t>owner</t>
  </si>
  <si>
    <t xml:space="preserve">no Target </t>
  </si>
  <si>
    <t xml:space="preserve">target </t>
  </si>
  <si>
    <t xml:space="preserve">head </t>
  </si>
  <si>
    <t xml:space="preserve">6% balance </t>
  </si>
  <si>
    <t xml:space="preserve">50% over due </t>
  </si>
  <si>
    <t>Product</t>
  </si>
  <si>
    <t xml:space="preserve">وتفضلوا بقبول فائق الأحترام </t>
  </si>
  <si>
    <t xml:space="preserve"> بنك كريدي اجريكول </t>
  </si>
  <si>
    <t xml:space="preserve">دليل التعامع مع بنك كريدى اجريكول </t>
  </si>
  <si>
    <t>&gt;100%</t>
  </si>
  <si>
    <t>&gt;101%</t>
  </si>
  <si>
    <t>&gt;141%</t>
  </si>
  <si>
    <t>No</t>
  </si>
  <si>
    <t xml:space="preserve">Active </t>
  </si>
  <si>
    <t>&gt;121%</t>
  </si>
  <si>
    <t xml:space="preserve">Target </t>
  </si>
  <si>
    <t>w/O 12-24</t>
  </si>
  <si>
    <t>w/O +24</t>
  </si>
  <si>
    <t xml:space="preserve">ALX Bank </t>
  </si>
  <si>
    <t xml:space="preserve"> 0%-100%</t>
  </si>
  <si>
    <t>101%-125%</t>
  </si>
  <si>
    <t>126%-151%</t>
  </si>
  <si>
    <t>Active 4-5-6</t>
  </si>
  <si>
    <t>Head</t>
  </si>
  <si>
    <t>Active--w/o</t>
  </si>
  <si>
    <t>Buckct(4)</t>
  </si>
  <si>
    <t>MID</t>
  </si>
  <si>
    <t>دليل التعامل مع عمولات شركة ميد تقسيط</t>
  </si>
  <si>
    <t>Souhoola</t>
  </si>
  <si>
    <t>دليل التعامل مع عمولات شركه سهولة</t>
  </si>
  <si>
    <t>Bukt 1</t>
  </si>
  <si>
    <t>Active 2-6</t>
  </si>
  <si>
    <t>charged off</t>
  </si>
  <si>
    <t xml:space="preserve">السادة العاملين بشركه قيمه لخدمات التحصيل </t>
  </si>
  <si>
    <t>Bukt 1-2</t>
  </si>
  <si>
    <t>Active 3-5</t>
  </si>
  <si>
    <t>1-30</t>
  </si>
  <si>
    <t>BKT 1</t>
  </si>
  <si>
    <t>30 - 60</t>
  </si>
  <si>
    <t>BKT 2</t>
  </si>
  <si>
    <t>61-90</t>
  </si>
  <si>
    <t>BKT 3</t>
  </si>
  <si>
    <t>91-180</t>
  </si>
  <si>
    <t>BKT 4</t>
  </si>
  <si>
    <t>181 - 365</t>
  </si>
  <si>
    <t>BKT 5</t>
  </si>
  <si>
    <t>365+</t>
  </si>
  <si>
    <t>BKT 6</t>
  </si>
  <si>
    <t>Tanmeyah</t>
  </si>
  <si>
    <t>دليل التعامل مع عمولات شركه تنمية</t>
  </si>
  <si>
    <t>GCL</t>
  </si>
  <si>
    <t>&gt;50%</t>
  </si>
  <si>
    <t>50% :75%</t>
  </si>
  <si>
    <t>&gt;106%</t>
  </si>
  <si>
    <t>81% : 100%</t>
  </si>
  <si>
    <t>101% : 120%</t>
  </si>
  <si>
    <t>&gt; 121%</t>
  </si>
  <si>
    <t>0% : 80%</t>
  </si>
  <si>
    <t>WO</t>
  </si>
  <si>
    <t>دليل التعامع مع شركة وسيلة</t>
  </si>
  <si>
    <t>شركة وسيلة</t>
  </si>
  <si>
    <t>من شهر الى 3 اشهر</t>
  </si>
  <si>
    <t>من 3 اشهر الى 12 شهر</t>
  </si>
  <si>
    <t>من  سنة الى 3 سنوات</t>
  </si>
  <si>
    <t>&gt; من 3 سنوات</t>
  </si>
  <si>
    <t>b/1.2.3</t>
  </si>
  <si>
    <t>دليل التعامع مع شركة سفن</t>
  </si>
  <si>
    <t>شركة سفن</t>
  </si>
  <si>
    <t>شركة فورى</t>
  </si>
  <si>
    <t>دليل التعامل مع شركة فورى</t>
  </si>
  <si>
    <t xml:space="preserve">دليل التعامل مع بنك كريدى اجريكول </t>
  </si>
  <si>
    <t xml:space="preserve">سداد جزئي </t>
  </si>
  <si>
    <t xml:space="preserve">من 100% فاكثر من المستهدف </t>
  </si>
  <si>
    <t xml:space="preserve">من 80% حتى 99% من المستهدف </t>
  </si>
  <si>
    <t xml:space="preserve">حتى اقل من 80% من المستهدف  </t>
  </si>
  <si>
    <t>مرحلة التأخير</t>
  </si>
  <si>
    <t>تأخير قسط واحد (Bucket 1)</t>
  </si>
  <si>
    <t>تأخير قسطين (Bucket 2)</t>
  </si>
  <si>
    <t>تأخير ثلاثة أقساط (Bucket 3)</t>
  </si>
  <si>
    <t>تأخير أربعه اقساط (Bucket 4)</t>
  </si>
  <si>
    <t>تأخير خمسة أقساط (Bucket 5)</t>
  </si>
  <si>
    <t>تأخير ستة أقساط (Bucket 6)</t>
  </si>
  <si>
    <t>تأخير سبعة أقساط (Bucket 7)</t>
  </si>
  <si>
    <t xml:space="preserve">من 100% فتاكثر من المستهدف </t>
  </si>
  <si>
    <t xml:space="preserve"> حتى 99% من المستهدف </t>
  </si>
  <si>
    <t>أقل من او يساوي 12 شهر</t>
  </si>
  <si>
    <t>أكثر من 12 شهر</t>
  </si>
  <si>
    <t>w/O &lt; 12</t>
  </si>
  <si>
    <t>w/O &gt; 12</t>
  </si>
  <si>
    <t>&lt;80%</t>
  </si>
  <si>
    <t>80% : 99%</t>
  </si>
  <si>
    <t>Ticket Size</t>
  </si>
  <si>
    <t>Revolving</t>
  </si>
  <si>
    <t>W.O</t>
  </si>
  <si>
    <t>Active 4-6 &amp; BD</t>
  </si>
  <si>
    <t>DD &amp; w/O</t>
  </si>
  <si>
    <t>Bukt 1-3</t>
  </si>
  <si>
    <t>دليل التعامل مع عمولات شركه Halan</t>
  </si>
  <si>
    <t>Halan</t>
  </si>
  <si>
    <t>Bukt 1-6</t>
  </si>
  <si>
    <t>Active &gt; 6</t>
  </si>
  <si>
    <t>التمويل الاستهلاكى</t>
  </si>
  <si>
    <t>التمويل متناهى الصغير</t>
  </si>
  <si>
    <t>Active 1-6</t>
  </si>
  <si>
    <t>تمويل المشروعات الصغيرة والمتوسطة</t>
  </si>
  <si>
    <t>Contest</t>
  </si>
  <si>
    <t>فورى</t>
  </si>
  <si>
    <t>مانى فللوز</t>
  </si>
  <si>
    <t>CL</t>
  </si>
  <si>
    <t>حالا</t>
  </si>
  <si>
    <t>-</t>
  </si>
  <si>
    <t xml:space="preserve">في حالة الوصول الى نسبة  80 % يتم صرف مكافأة 5000 جنية </t>
  </si>
  <si>
    <t xml:space="preserve">في حالة الوصول الى نسبة  100 % يتم صرف مكافأة 5000 جنية </t>
  </si>
  <si>
    <t xml:space="preserve">في حالة تحصيل مبلغ 1 مليون جنية يتم صرف مكافأة 5000 جنية </t>
  </si>
  <si>
    <t>راية</t>
  </si>
  <si>
    <t xml:space="preserve">في حالة الوصول الى نسبة  90 % يتم صرف مكافأة 5000 جنية </t>
  </si>
  <si>
    <t>وسيلة</t>
  </si>
  <si>
    <t xml:space="preserve">في حالة Target يتم صرف مكافأة 5000 جنية </t>
  </si>
  <si>
    <t>ميد تقسيط</t>
  </si>
  <si>
    <t>بنك كريدى اجرى كول</t>
  </si>
  <si>
    <t>Visa</t>
  </si>
  <si>
    <t xml:space="preserve">في حالة Target يتم صرف مكافأة 10000 جنية </t>
  </si>
  <si>
    <t>Visa Active</t>
  </si>
  <si>
    <t>Loan Active</t>
  </si>
  <si>
    <t>بنك الإسكندرية</t>
  </si>
  <si>
    <t>Npl</t>
  </si>
  <si>
    <t>في حالة Target يتم صرف مكافأة 10000 جنية في حالة الوصول الى نسبة 200% يتم زيادة المكافأة الى 15000 جنية</t>
  </si>
  <si>
    <t>من : الإدارة المالية</t>
  </si>
  <si>
    <t>الى : السادة العاملين بالشركة</t>
  </si>
  <si>
    <t>الموضوع :كونتست شهر يوليو</t>
  </si>
  <si>
    <t>التاريخ :10/07/2025</t>
  </si>
  <si>
    <t xml:space="preserve">في حالة تحصيل مبلغ 500 الف جنية يتم صرف مكافأة 10000 جنية </t>
  </si>
  <si>
    <t>في حالة تحصيل مبلغ 2.5 مليون جنية يتم صرف مكافأة 10000 جنية (بدون domain SMEs)</t>
  </si>
  <si>
    <t>في حالة تحقيق 750 الف جنية يتم صرف مكافاة 5000 جنية</t>
  </si>
  <si>
    <t>في حالة الوصول الى نسبة  80 %+ Target Bkt 4 Stage 2 يتم صرف مكافأة 10000 جنية او تارجت 100% اسكور</t>
  </si>
  <si>
    <t>126%-150%</t>
  </si>
  <si>
    <t>151%-200%</t>
  </si>
  <si>
    <t>ميد بنك</t>
  </si>
  <si>
    <t>دليل التعامل مع ميد بنك</t>
  </si>
  <si>
    <t>100% : 129%</t>
  </si>
  <si>
    <t>0% : 99%</t>
  </si>
  <si>
    <t>100% : 124%</t>
  </si>
  <si>
    <t>&gt; 125%</t>
  </si>
  <si>
    <t>0% : 39%</t>
  </si>
  <si>
    <t>40% : 49%</t>
  </si>
  <si>
    <t>50% :79%</t>
  </si>
  <si>
    <t>110% : 119%</t>
  </si>
  <si>
    <t>120% : 129%</t>
  </si>
  <si>
    <t>&gt;130</t>
  </si>
  <si>
    <t>100% : 114%</t>
  </si>
  <si>
    <t>100% : 109%</t>
  </si>
  <si>
    <t>40% : 59%</t>
  </si>
  <si>
    <t>60% :69%</t>
  </si>
  <si>
    <t>70% : 79%</t>
  </si>
  <si>
    <t>115% : 124%</t>
  </si>
  <si>
    <t>&gt;125</t>
  </si>
  <si>
    <t>حافز التارجت</t>
  </si>
  <si>
    <t>وكيل التحصيل ٥٠٠</t>
  </si>
  <si>
    <t>تلى كلينج ٣٠٠</t>
  </si>
  <si>
    <t>مشرف ٧٥٠</t>
  </si>
  <si>
    <t>كبير فى حالة تارجت الاووول ٧٥٠</t>
  </si>
  <si>
    <t>منتج واحد فقط ٥٠٠</t>
  </si>
  <si>
    <t>دليل التعامل مع عمولات شركه إرادة</t>
  </si>
  <si>
    <t>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</si>
</sst>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0.000%"/>
    <numFmt numFmtId="168" formatCode="0.0000%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raditional Arabic"/>
      <family val="1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3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8"/>
      <color theme="1"/>
      <name val="Traditional Arabic"/>
      <family val="1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14" applyNumberFormat="0" applyFill="0" applyAlignment="0" applyProtection="0"/>
    <xf numFmtId="0" fontId="8" fillId="10" borderId="0" applyNumberFormat="0" applyBorder="0" applyAlignment="0" applyProtection="0"/>
  </cellStyleXfs>
  <cellXfs count="238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9" fontId="1" fillId="0" borderId="4" xfId="0" applyNumberFormat="1" applyFont="1" applyBorder="1" applyAlignment="1">
      <alignment horizontal="center"/>
    </xf>
    <xf numFmtId="10" fontId="1" fillId="6" borderId="1" xfId="0" applyNumberFormat="1" applyFont="1" applyFill="1" applyBorder="1" applyAlignment="1">
      <alignment horizontal="center"/>
    </xf>
    <xf numFmtId="10" fontId="1" fillId="8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0" fillId="7" borderId="0" xfId="0" applyFill="1"/>
    <xf numFmtId="10" fontId="1" fillId="0" borderId="0" xfId="0" applyNumberFormat="1" applyFont="1" applyAlignment="1">
      <alignment horizontal="center"/>
    </xf>
    <xf numFmtId="0" fontId="0" fillId="7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10" fontId="1" fillId="7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6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0" fontId="4" fillId="0" borderId="0" xfId="0" applyNumberFormat="1" applyFont="1"/>
    <xf numFmtId="0" fontId="5" fillId="5" borderId="1" xfId="0" applyFont="1" applyFill="1" applyBorder="1" applyAlignment="1">
      <alignment horizontal="center"/>
    </xf>
    <xf numFmtId="164" fontId="4" fillId="0" borderId="0" xfId="1" applyFont="1"/>
    <xf numFmtId="9" fontId="1" fillId="7" borderId="0" xfId="0" applyNumberFormat="1" applyFont="1" applyFill="1" applyAlignment="1">
      <alignment horizontal="center"/>
    </xf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10" fontId="1" fillId="0" borderId="0" xfId="0" applyNumberFormat="1" applyFont="1"/>
    <xf numFmtId="0" fontId="1" fillId="7" borderId="0" xfId="0" applyFont="1" applyFill="1"/>
    <xf numFmtId="0" fontId="5" fillId="6" borderId="0" xfId="0" applyFont="1" applyFill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0" fontId="1" fillId="0" borderId="9" xfId="0" applyNumberFormat="1" applyFont="1" applyBorder="1" applyAlignment="1">
      <alignment horizontal="center"/>
    </xf>
    <xf numFmtId="10" fontId="1" fillId="0" borderId="10" xfId="0" applyNumberFormat="1" applyFont="1" applyBorder="1" applyAlignment="1">
      <alignment horizontal="center"/>
    </xf>
    <xf numFmtId="10" fontId="1" fillId="0" borderId="11" xfId="0" applyNumberFormat="1" applyFont="1" applyBorder="1" applyAlignment="1">
      <alignment horizontal="center"/>
    </xf>
    <xf numFmtId="10" fontId="1" fillId="0" borderId="1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right" vertical="top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6" fillId="9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0" xfId="2" applyFont="1"/>
    <xf numFmtId="10" fontId="1" fillId="0" borderId="0" xfId="2" applyNumberFormat="1" applyFont="1"/>
    <xf numFmtId="10" fontId="1" fillId="0" borderId="0" xfId="2" applyNumberFormat="1" applyFont="1" applyAlignment="1">
      <alignment horizontal="center"/>
    </xf>
    <xf numFmtId="166" fontId="1" fillId="0" borderId="0" xfId="1" applyNumberFormat="1" applyFont="1"/>
    <xf numFmtId="0" fontId="1" fillId="7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10" fontId="1" fillId="0" borderId="15" xfId="2" applyNumberFormat="1" applyFont="1" applyBorder="1" applyAlignment="1">
      <alignment horizontal="center"/>
    </xf>
    <xf numFmtId="10" fontId="7" fillId="6" borderId="15" xfId="3" applyNumberFormat="1" applyFill="1" applyBorder="1" applyAlignment="1">
      <alignment horizontal="center"/>
    </xf>
    <xf numFmtId="164" fontId="1" fillId="0" borderId="0" xfId="1" applyFont="1" applyAlignment="1">
      <alignment horizontal="center"/>
    </xf>
    <xf numFmtId="12" fontId="1" fillId="7" borderId="1" xfId="0" applyNumberFormat="1" applyFont="1" applyFill="1" applyBorder="1" applyAlignment="1">
      <alignment horizontal="center"/>
    </xf>
    <xf numFmtId="12" fontId="1" fillId="7" borderId="0" xfId="0" applyNumberFormat="1" applyFont="1" applyFill="1" applyAlignment="1">
      <alignment horizontal="center"/>
    </xf>
    <xf numFmtId="0" fontId="1" fillId="7" borderId="3" xfId="0" applyFont="1" applyFill="1" applyBorder="1" applyAlignment="1">
      <alignment horizontal="center"/>
    </xf>
    <xf numFmtId="167" fontId="1" fillId="7" borderId="1" xfId="2" applyNumberFormat="1" applyFont="1" applyFill="1" applyBorder="1" applyAlignment="1">
      <alignment horizontal="center"/>
    </xf>
    <xf numFmtId="2" fontId="1" fillId="7" borderId="0" xfId="0" applyNumberFormat="1" applyFont="1" applyFill="1"/>
    <xf numFmtId="0" fontId="1" fillId="7" borderId="0" xfId="0" applyFont="1" applyFill="1" applyAlignment="1">
      <alignment vertical="center"/>
    </xf>
    <xf numFmtId="9" fontId="1" fillId="7" borderId="0" xfId="0" applyNumberFormat="1" applyFont="1" applyFill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/>
    <xf numFmtId="0" fontId="4" fillId="7" borderId="0" xfId="0" applyFont="1" applyFill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1" borderId="3" xfId="0" applyFont="1" applyFill="1" applyBorder="1" applyAlignment="1">
      <alignment horizontal="center"/>
    </xf>
    <xf numFmtId="9" fontId="1" fillId="11" borderId="3" xfId="0" applyNumberFormat="1" applyFont="1" applyFill="1" applyBorder="1" applyAlignment="1">
      <alignment horizontal="center"/>
    </xf>
    <xf numFmtId="164" fontId="1" fillId="0" borderId="0" xfId="1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10" fontId="1" fillId="0" borderId="0" xfId="2" applyNumberFormat="1" applyFont="1" applyBorder="1" applyAlignment="1">
      <alignment horizontal="center"/>
    </xf>
    <xf numFmtId="9" fontId="0" fillId="0" borderId="0" xfId="2" applyFont="1"/>
    <xf numFmtId="10" fontId="1" fillId="0" borderId="24" xfId="0" applyNumberFormat="1" applyFont="1" applyBorder="1" applyAlignment="1">
      <alignment horizontal="center"/>
    </xf>
    <xf numFmtId="10" fontId="1" fillId="0" borderId="25" xfId="0" applyNumberFormat="1" applyFont="1" applyBorder="1" applyAlignment="1">
      <alignment horizontal="center"/>
    </xf>
    <xf numFmtId="0" fontId="1" fillId="7" borderId="26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10" fontId="1" fillId="0" borderId="0" xfId="2" applyNumberFormat="1" applyFont="1" applyBorder="1" applyAlignment="1">
      <alignment horizontal="center" vertical="center"/>
    </xf>
    <xf numFmtId="167" fontId="1" fillId="0" borderId="15" xfId="2" applyNumberFormat="1" applyFont="1" applyBorder="1" applyAlignment="1">
      <alignment horizontal="center"/>
    </xf>
    <xf numFmtId="165" fontId="1" fillId="0" borderId="0" xfId="2" applyNumberFormat="1" applyFont="1"/>
    <xf numFmtId="167" fontId="1" fillId="0" borderId="0" xfId="2" applyNumberFormat="1" applyFont="1"/>
    <xf numFmtId="164" fontId="1" fillId="0" borderId="0" xfId="1" applyFont="1"/>
    <xf numFmtId="164" fontId="1" fillId="0" borderId="0" xfId="0" applyNumberFormat="1" applyFont="1"/>
    <xf numFmtId="2" fontId="1" fillId="0" borderId="0" xfId="0" applyNumberFormat="1" applyFont="1"/>
    <xf numFmtId="49" fontId="10" fillId="12" borderId="15" xfId="0" applyNumberFormat="1" applyFont="1" applyFill="1" applyBorder="1" applyAlignment="1">
      <alignment vertical="center"/>
    </xf>
    <xf numFmtId="0" fontId="10" fillId="12" borderId="29" xfId="0" applyFont="1" applyFill="1" applyBorder="1" applyAlignment="1">
      <alignment vertical="center"/>
    </xf>
    <xf numFmtId="0" fontId="10" fillId="12" borderId="23" xfId="0" applyFont="1" applyFill="1" applyBorder="1" applyAlignment="1">
      <alignment vertical="center"/>
    </xf>
    <xf numFmtId="0" fontId="10" fillId="12" borderId="30" xfId="0" applyFont="1" applyFill="1" applyBorder="1" applyAlignment="1">
      <alignment vertical="center"/>
    </xf>
    <xf numFmtId="9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7" fontId="1" fillId="7" borderId="1" xfId="0" applyNumberFormat="1" applyFont="1" applyFill="1" applyBorder="1" applyAlignment="1">
      <alignment horizontal="center"/>
    </xf>
    <xf numFmtId="10" fontId="1" fillId="0" borderId="3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20" fontId="1" fillId="6" borderId="1" xfId="0" applyNumberFormat="1" applyFont="1" applyFill="1" applyBorder="1" applyAlignment="1">
      <alignment horizontal="center"/>
    </xf>
    <xf numFmtId="165" fontId="0" fillId="0" borderId="0" xfId="2" applyNumberFormat="1" applyFont="1"/>
    <xf numFmtId="0" fontId="5" fillId="7" borderId="0" xfId="0" applyFont="1" applyFill="1" applyAlignment="1">
      <alignment horizontal="center"/>
    </xf>
    <xf numFmtId="10" fontId="11" fillId="6" borderId="15" xfId="3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10" fontId="5" fillId="0" borderId="15" xfId="2" applyNumberFormat="1" applyFont="1" applyBorder="1" applyAlignment="1">
      <alignment horizontal="center"/>
    </xf>
    <xf numFmtId="10" fontId="5" fillId="0" borderId="0" xfId="2" applyNumberFormat="1" applyFont="1" applyAlignment="1">
      <alignment horizontal="center"/>
    </xf>
    <xf numFmtId="10" fontId="5" fillId="0" borderId="0" xfId="2" applyNumberFormat="1" applyFont="1"/>
    <xf numFmtId="0" fontId="5" fillId="7" borderId="0" xfId="0" applyFont="1" applyFill="1" applyAlignment="1">
      <alignment horizontal="center" vertical="center"/>
    </xf>
    <xf numFmtId="10" fontId="5" fillId="0" borderId="0" xfId="2" applyNumberFormat="1" applyFont="1" applyBorder="1" applyAlignment="1">
      <alignment horizontal="center"/>
    </xf>
    <xf numFmtId="0" fontId="5" fillId="0" borderId="0" xfId="0" applyFont="1"/>
    <xf numFmtId="0" fontId="1" fillId="7" borderId="15" xfId="0" applyFont="1" applyFill="1" applyBorder="1" applyAlignment="1">
      <alignment horizontal="center" vertical="center"/>
    </xf>
    <xf numFmtId="0" fontId="12" fillId="14" borderId="32" xfId="0" applyFont="1" applyFill="1" applyBorder="1" applyAlignment="1">
      <alignment horizontal="center" vertical="center" wrapText="1" readingOrder="2"/>
    </xf>
    <xf numFmtId="0" fontId="12" fillId="14" borderId="33" xfId="0" applyFont="1" applyFill="1" applyBorder="1" applyAlignment="1">
      <alignment horizontal="center" vertical="center" wrapText="1" readingOrder="2"/>
    </xf>
    <xf numFmtId="9" fontId="0" fillId="0" borderId="0" xfId="0" applyNumberFormat="1"/>
    <xf numFmtId="9" fontId="13" fillId="15" borderId="34" xfId="0" applyNumberFormat="1" applyFont="1" applyFill="1" applyBorder="1" applyAlignment="1">
      <alignment horizontal="center" vertical="center" wrapText="1"/>
    </xf>
    <xf numFmtId="9" fontId="13" fillId="0" borderId="34" xfId="0" applyNumberFormat="1" applyFont="1" applyBorder="1" applyAlignment="1">
      <alignment horizontal="center" vertical="center" wrapText="1"/>
    </xf>
    <xf numFmtId="167" fontId="1" fillId="7" borderId="0" xfId="0" applyNumberFormat="1" applyFont="1" applyFill="1" applyAlignment="1">
      <alignment horizontal="center"/>
    </xf>
    <xf numFmtId="10" fontId="0" fillId="0" borderId="0" xfId="2" applyNumberFormat="1" applyFont="1"/>
    <xf numFmtId="0" fontId="13" fillId="15" borderId="34" xfId="0" applyFont="1" applyFill="1" applyBorder="1" applyAlignment="1">
      <alignment horizontal="center" vertical="center" wrapText="1" readingOrder="2"/>
    </xf>
    <xf numFmtId="0" fontId="13" fillId="0" borderId="34" xfId="0" applyFont="1" applyBorder="1" applyAlignment="1">
      <alignment horizontal="center" vertical="center" wrapText="1" readingOrder="2"/>
    </xf>
    <xf numFmtId="167" fontId="1" fillId="0" borderId="0" xfId="2" applyNumberFormat="1" applyFont="1" applyBorder="1" applyAlignment="1">
      <alignment horizontal="center"/>
    </xf>
    <xf numFmtId="168" fontId="1" fillId="0" borderId="15" xfId="2" applyNumberFormat="1" applyFont="1" applyBorder="1" applyAlignment="1">
      <alignment horizontal="center"/>
    </xf>
    <xf numFmtId="9" fontId="7" fillId="6" borderId="15" xfId="3" applyNumberFormat="1" applyFill="1" applyBorder="1" applyAlignment="1">
      <alignment horizontal="center"/>
    </xf>
    <xf numFmtId="10" fontId="14" fillId="0" borderId="0" xfId="2" applyNumberFormat="1" applyFont="1"/>
    <xf numFmtId="10" fontId="15" fillId="6" borderId="0" xfId="2" applyNumberFormat="1" applyFont="1" applyFill="1"/>
    <xf numFmtId="0" fontId="9" fillId="7" borderId="0" xfId="0" applyFont="1" applyFill="1" applyAlignment="1">
      <alignment horizontal="center"/>
    </xf>
    <xf numFmtId="10" fontId="1" fillId="0" borderId="37" xfId="2" applyNumberFormat="1" applyFont="1" applyBorder="1"/>
    <xf numFmtId="10" fontId="1" fillId="0" borderId="38" xfId="2" applyNumberFormat="1" applyFont="1" applyBorder="1"/>
    <xf numFmtId="10" fontId="1" fillId="0" borderId="39" xfId="2" applyNumberFormat="1" applyFont="1" applyBorder="1"/>
    <xf numFmtId="10" fontId="1" fillId="0" borderId="9" xfId="2" applyNumberFormat="1" applyFont="1" applyBorder="1"/>
    <xf numFmtId="10" fontId="1" fillId="0" borderId="1" xfId="2" applyNumberFormat="1" applyFont="1" applyBorder="1"/>
    <xf numFmtId="10" fontId="1" fillId="0" borderId="10" xfId="2" applyNumberFormat="1" applyFont="1" applyBorder="1"/>
    <xf numFmtId="10" fontId="1" fillId="0" borderId="11" xfId="2" applyNumberFormat="1" applyFont="1" applyBorder="1"/>
    <xf numFmtId="10" fontId="1" fillId="0" borderId="40" xfId="2" applyNumberFormat="1" applyFont="1" applyBorder="1"/>
    <xf numFmtId="10" fontId="1" fillId="0" borderId="12" xfId="2" applyNumberFormat="1" applyFont="1" applyBorder="1"/>
    <xf numFmtId="0" fontId="1" fillId="2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6" fillId="9" borderId="0" xfId="0" applyFont="1" applyFill="1" applyAlignment="1">
      <alignment horizontal="center"/>
    </xf>
    <xf numFmtId="0" fontId="1" fillId="9" borderId="8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right" vertical="top"/>
    </xf>
    <xf numFmtId="164" fontId="0" fillId="0" borderId="0" xfId="1" applyFont="1"/>
    <xf numFmtId="0" fontId="17" fillId="12" borderId="41" xfId="0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9" fontId="17" fillId="0" borderId="42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9" fontId="17" fillId="0" borderId="43" xfId="0" applyNumberFormat="1" applyFont="1" applyBorder="1" applyAlignment="1">
      <alignment horizontal="center" vertical="center"/>
    </xf>
    <xf numFmtId="0" fontId="18" fillId="0" borderId="0" xfId="0" applyFont="1"/>
    <xf numFmtId="10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10" fontId="1" fillId="0" borderId="22" xfId="2" applyNumberFormat="1" applyFont="1" applyBorder="1" applyAlignment="1">
      <alignment horizontal="center" vertical="center"/>
    </xf>
    <xf numFmtId="10" fontId="1" fillId="0" borderId="23" xfId="2" applyNumberFormat="1" applyFont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10" borderId="1" xfId="4" applyBorder="1" applyAlignment="1">
      <alignment horizontal="center" vertical="center"/>
    </xf>
    <xf numFmtId="9" fontId="1" fillId="7" borderId="3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0" fontId="1" fillId="7" borderId="0" xfId="0" applyNumberFormat="1" applyFont="1" applyFill="1" applyAlignment="1">
      <alignment horizontal="center"/>
    </xf>
    <xf numFmtId="10" fontId="1" fillId="7" borderId="3" xfId="0" applyNumberFormat="1" applyFont="1" applyFill="1" applyBorder="1" applyAlignment="1">
      <alignment horizontal="center" vertical="center"/>
    </xf>
    <xf numFmtId="10" fontId="1" fillId="7" borderId="1" xfId="0" applyNumberFormat="1" applyFont="1" applyFill="1" applyBorder="1" applyAlignment="1">
      <alignment horizontal="center" vertical="center"/>
    </xf>
    <xf numFmtId="10" fontId="1" fillId="7" borderId="4" xfId="0" applyNumberFormat="1" applyFont="1" applyFill="1" applyBorder="1" applyAlignment="1">
      <alignment horizontal="center" vertical="center"/>
    </xf>
    <xf numFmtId="9" fontId="1" fillId="7" borderId="4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10" fontId="1" fillId="7" borderId="16" xfId="0" applyNumberFormat="1" applyFont="1" applyFill="1" applyBorder="1" applyAlignment="1">
      <alignment horizontal="center" vertical="center"/>
    </xf>
    <xf numFmtId="10" fontId="1" fillId="7" borderId="17" xfId="0" applyNumberFormat="1" applyFont="1" applyFill="1" applyBorder="1" applyAlignment="1">
      <alignment horizontal="center" vertical="center"/>
    </xf>
    <xf numFmtId="10" fontId="1" fillId="7" borderId="8" xfId="0" applyNumberFormat="1" applyFont="1" applyFill="1" applyBorder="1" applyAlignment="1">
      <alignment horizontal="center" vertical="center"/>
    </xf>
    <xf numFmtId="10" fontId="1" fillId="7" borderId="13" xfId="0" applyNumberFormat="1" applyFont="1" applyFill="1" applyBorder="1" applyAlignment="1">
      <alignment horizontal="center" vertical="center"/>
    </xf>
    <xf numFmtId="10" fontId="1" fillId="7" borderId="18" xfId="0" applyNumberFormat="1" applyFont="1" applyFill="1" applyBorder="1" applyAlignment="1">
      <alignment horizontal="center" vertical="center"/>
    </xf>
    <xf numFmtId="10" fontId="1" fillId="7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/>
    </xf>
    <xf numFmtId="0" fontId="8" fillId="10" borderId="3" xfId="4" applyBorder="1" applyAlignment="1">
      <alignment horizontal="center" vertical="center"/>
    </xf>
    <xf numFmtId="0" fontId="8" fillId="10" borderId="4" xfId="4" applyBorder="1" applyAlignment="1">
      <alignment horizontal="center" vertical="center"/>
    </xf>
    <xf numFmtId="0" fontId="8" fillId="10" borderId="19" xfId="4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7" borderId="3" xfId="0" applyNumberFormat="1" applyFont="1" applyFill="1" applyBorder="1" applyAlignment="1">
      <alignment horizontal="center" vertical="center"/>
    </xf>
    <xf numFmtId="165" fontId="1" fillId="7" borderId="4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0" fontId="1" fillId="7" borderId="0" xfId="0" applyNumberFormat="1" applyFont="1" applyFill="1"/>
  </cellXfs>
  <cellStyles count="5">
    <cellStyle name="Accent1" xfId="4" builtinId="29"/>
    <cellStyle name="Comma" xfId="1" builtinId="3"/>
    <cellStyle name="Heading 2" xfId="3" builtinId="17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</xdr:col>
      <xdr:colOff>289027</xdr:colOff>
      <xdr:row>2</xdr:row>
      <xdr:rowOff>173990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3</xdr:col>
      <xdr:colOff>7620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7620"/>
          <a:ext cx="2567940" cy="9448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1177573</xdr:colOff>
      <xdr:row>0</xdr:row>
      <xdr:rowOff>526415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1092790</xdr:colOff>
      <xdr:row>0</xdr:row>
      <xdr:rowOff>526415</xdr:rowOff>
    </xdr:to>
    <xdr:pic>
      <xdr:nvPicPr>
        <xdr:cNvPr id="3" name="Picture 2" descr="Logo Small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37</xdr:row>
      <xdr:rowOff>80596</xdr:rowOff>
    </xdr:from>
    <xdr:ext cx="2074598" cy="526415"/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007AE620-4C40-48C9-8136-28D66D0A07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5154"/>
          <a:ext cx="2074598" cy="52641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8384</xdr:colOff>
      <xdr:row>1</xdr:row>
      <xdr:rowOff>12065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65534</xdr:colOff>
      <xdr:row>2</xdr:row>
      <xdr:rowOff>145415</xdr:rowOff>
    </xdr:to>
    <xdr:pic>
      <xdr:nvPicPr>
        <xdr:cNvPr id="6" name="Picture 5" descr="Logo Small">
          <a:extLst>
            <a:ext uri="{FF2B5EF4-FFF2-40B4-BE49-F238E27FC236}">
              <a16:creationId xmlns:a16="http://schemas.microsoft.com/office/drawing/2014/main" id="{8DD599DD-ACBD-4511-B9B4-19262279525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084834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38100</xdr:rowOff>
    </xdr:from>
    <xdr:to>
      <xdr:col>2</xdr:col>
      <xdr:colOff>831952</xdr:colOff>
      <xdr:row>2</xdr:row>
      <xdr:rowOff>88265</xdr:rowOff>
    </xdr:to>
    <xdr:pic>
      <xdr:nvPicPr>
        <xdr:cNvPr id="4" name="Picture 3" descr="Logo Small">
          <a:extLst>
            <a:ext uri="{FF2B5EF4-FFF2-40B4-BE49-F238E27FC236}">
              <a16:creationId xmlns:a16="http://schemas.microsoft.com/office/drawing/2014/main" id="{7C90C26E-A876-44A4-8F9D-CEC01F6F099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3</xdr:col>
      <xdr:colOff>327127</xdr:colOff>
      <xdr:row>3</xdr:row>
      <xdr:rowOff>40640</xdr:rowOff>
    </xdr:to>
    <xdr:pic>
      <xdr:nvPicPr>
        <xdr:cNvPr id="3" name="Picture 2" descr="Logo Small">
          <a:extLst>
            <a:ext uri="{FF2B5EF4-FFF2-40B4-BE49-F238E27FC236}">
              <a16:creationId xmlns:a16="http://schemas.microsoft.com/office/drawing/2014/main" id="{C2D3CE03-694F-4613-A0E4-E24EA44804E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30481</xdr:rowOff>
    </xdr:from>
    <xdr:to>
      <xdr:col>1</xdr:col>
      <xdr:colOff>1253490</xdr:colOff>
      <xdr:row>3</xdr:row>
      <xdr:rowOff>173991</xdr:rowOff>
    </xdr:to>
    <xdr:pic>
      <xdr:nvPicPr>
        <xdr:cNvPr id="3" name="Picture 2" descr="Logo Small">
          <a:extLst>
            <a:ext uri="{FF2B5EF4-FFF2-40B4-BE49-F238E27FC236}">
              <a16:creationId xmlns:a16="http://schemas.microsoft.com/office/drawing/2014/main" id="{0B27E97E-B2A0-491F-8086-01A61C8CAE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1"/>
          <a:ext cx="2956560" cy="692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30481</xdr:rowOff>
    </xdr:from>
    <xdr:to>
      <xdr:col>1</xdr:col>
      <xdr:colOff>1253490</xdr:colOff>
      <xdr:row>3</xdr:row>
      <xdr:rowOff>173991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760F9B5C-ABA8-4666-9843-632C9E40800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1"/>
          <a:ext cx="2891790" cy="7150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222352</xdr:colOff>
      <xdr:row>2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ED882796-A5F6-496A-8A2E-0BDB3A54B9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3</xdr:col>
      <xdr:colOff>7620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69377A0A-BDB2-4EDB-8D8A-13F4D8228FC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3</xdr:col>
      <xdr:colOff>7620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6789FE40-7F7C-480D-AC33-ADBDF7DC75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2</xdr:col>
      <xdr:colOff>1122045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48240481-2EC6-44F4-868C-A0E916AD15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2</xdr:col>
      <xdr:colOff>1122045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A844FB29-D8D2-4BCD-B88E-12B59B57D3C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3</xdr:col>
      <xdr:colOff>312420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5E7D7D0E-F608-4363-9C68-92E40AEF165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11</xdr:row>
      <xdr:rowOff>9525</xdr:rowOff>
    </xdr:from>
    <xdr:to>
      <xdr:col>9</xdr:col>
      <xdr:colOff>314325</xdr:colOff>
      <xdr:row>26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0DDBE-7975-494F-ABE9-AAD4A869C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8425" y="2800350"/>
          <a:ext cx="1828800" cy="2914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3</xdr:col>
      <xdr:colOff>7620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E2AFFEE6-19EA-4828-B9F2-D6DDD8FE8A5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222352</xdr:colOff>
      <xdr:row>3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7EC8EC9D-07F0-4216-8AEF-E032C9A946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222352</xdr:colOff>
      <xdr:row>3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32A5CBFD-5C43-4AE7-A5DF-B7C5630D49B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222352</xdr:colOff>
      <xdr:row>3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6279E1F7-EB81-41F7-958C-1F3E44FB81E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222352</xdr:colOff>
      <xdr:row>3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E7F6B58C-C644-420F-8B08-3DC0709716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3</xdr:col>
      <xdr:colOff>7620</xdr:colOff>
      <xdr:row>2</xdr:row>
      <xdr:rowOff>312420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5255B308-4616-40D8-AD24-8B658A1BC32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222352</xdr:colOff>
      <xdr:row>3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5DFC1482-246E-43AF-BDDA-892FE60A8D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222352</xdr:colOff>
      <xdr:row>3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FB005406-1F17-47BD-91CB-0153709F408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222352</xdr:colOff>
      <xdr:row>2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94EB7AAE-6507-4E45-9E29-84EE23465F6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222352</xdr:colOff>
      <xdr:row>2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FDCD6FB0-5BCD-4C1A-8311-9E79EEF952A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2</xdr:col>
      <xdr:colOff>1122045</xdr:colOff>
      <xdr:row>3</xdr:row>
      <xdr:rowOff>1270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1D65D91E-7333-4A4A-9040-05222ED5646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6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</xdr:rowOff>
    </xdr:from>
    <xdr:ext cx="2493645" cy="933450"/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3837ED9C-4195-43C7-9640-C4D79C72A0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3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</xdr:rowOff>
    </xdr:from>
    <xdr:to>
      <xdr:col>2</xdr:col>
      <xdr:colOff>1122045</xdr:colOff>
      <xdr:row>3</xdr:row>
      <xdr:rowOff>1270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A20CACEF-0AC4-4FAD-9579-41D0B7490B2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"/>
          <a:ext cx="2493645" cy="936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65534</xdr:colOff>
      <xdr:row>2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8A121F96-19A9-4FBC-95C6-03BE13FFE84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084834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222352</xdr:colOff>
      <xdr:row>2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23F681A2-982B-4639-8995-CE1005304B8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222352</xdr:colOff>
      <xdr:row>2</xdr:row>
      <xdr:rowOff>145415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58728670-B0FB-491B-BB1D-EAB9AD8E7D7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202" cy="526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1200150</xdr:colOff>
      <xdr:row>0</xdr:row>
      <xdr:rowOff>74295</xdr:rowOff>
    </xdr:from>
    <xdr:to>
      <xdr:col>5</xdr:col>
      <xdr:colOff>2598420</xdr:colOff>
      <xdr:row>3</xdr:row>
      <xdr:rowOff>64770</xdr:rowOff>
    </xdr:to>
    <xdr:pic>
      <xdr:nvPicPr>
        <xdr:cNvPr id="2" name="Picture 1" descr="Logo Small">
          <a:extLst>
            <a:ext uri="{FF2B5EF4-FFF2-40B4-BE49-F238E27FC236}">
              <a16:creationId xmlns:a16="http://schemas.microsoft.com/office/drawing/2014/main" id="{74A43014-050E-4254-BB67-DEAA0DA75A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888080" y="74295"/>
          <a:ext cx="3836670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7"/>
  <sheetViews>
    <sheetView view="pageBreakPreview" topLeftCell="A6" zoomScaleNormal="100" zoomScaleSheetLayoutView="100" workbookViewId="0">
      <selection activeCell="I23" sqref="I23"/>
    </sheetView>
  </sheetViews>
  <sheetFormatPr defaultColWidth="9.140625" defaultRowHeight="15" x14ac:dyDescent="0.25"/>
  <cols>
    <col min="1" max="1" width="10.28515625" style="35" bestFit="1" customWidth="1"/>
    <col min="2" max="3" width="17" style="35" customWidth="1"/>
    <col min="4" max="4" width="14.7109375" style="35" customWidth="1"/>
    <col min="5" max="6" width="14.5703125" style="35" customWidth="1"/>
    <col min="7" max="16384" width="9.140625" style="35"/>
  </cols>
  <sheetData>
    <row r="1" spans="1:6" x14ac:dyDescent="0.25">
      <c r="A1" s="39"/>
    </row>
    <row r="4" spans="1:6" x14ac:dyDescent="0.25">
      <c r="D4" s="38"/>
    </row>
    <row r="5" spans="1:6" ht="21" customHeight="1" x14ac:dyDescent="0.3">
      <c r="A5" s="40" t="s">
        <v>17</v>
      </c>
    </row>
    <row r="6" spans="1:6" x14ac:dyDescent="0.25">
      <c r="F6" s="35" t="s">
        <v>74</v>
      </c>
    </row>
    <row r="7" spans="1:6" x14ac:dyDescent="0.25">
      <c r="F7" s="35" t="s">
        <v>30</v>
      </c>
    </row>
    <row r="8" spans="1:6" ht="15.75" thickBot="1" x14ac:dyDescent="0.3">
      <c r="B8" s="12"/>
      <c r="C8" s="12"/>
    </row>
    <row r="9" spans="1:6" ht="27.75" customHeight="1" thickBot="1" x14ac:dyDescent="0.3">
      <c r="C9" s="165" t="s">
        <v>38</v>
      </c>
      <c r="D9" s="166"/>
      <c r="E9" s="167" t="s">
        <v>0</v>
      </c>
      <c r="F9" s="168"/>
    </row>
    <row r="10" spans="1:6" ht="27.75" customHeight="1" thickBot="1" x14ac:dyDescent="0.3">
      <c r="C10" s="87" t="s">
        <v>6</v>
      </c>
      <c r="D10" s="88" t="s">
        <v>25</v>
      </c>
      <c r="E10" s="87" t="s">
        <v>14</v>
      </c>
      <c r="F10" s="88" t="s">
        <v>25</v>
      </c>
    </row>
    <row r="11" spans="1:6" x14ac:dyDescent="0.25">
      <c r="B11" s="48" t="s">
        <v>10</v>
      </c>
      <c r="C11" s="85">
        <v>2.5000000000000001E-3</v>
      </c>
      <c r="D11" s="86">
        <v>1.4999999999999999E-2</v>
      </c>
      <c r="E11" s="85">
        <v>2.5000000000000001E-3</v>
      </c>
      <c r="F11" s="86">
        <v>0.01</v>
      </c>
    </row>
    <row r="12" spans="1:6" x14ac:dyDescent="0.25">
      <c r="B12" s="48" t="s">
        <v>11</v>
      </c>
      <c r="C12" s="44">
        <v>2.5000000000000001E-3</v>
      </c>
      <c r="D12" s="45">
        <v>1.4999999999999999E-2</v>
      </c>
      <c r="E12" s="44">
        <v>2.5000000000000001E-3</v>
      </c>
      <c r="F12" s="45">
        <v>0.01</v>
      </c>
    </row>
    <row r="13" spans="1:6" x14ac:dyDescent="0.25">
      <c r="B13" s="48" t="s">
        <v>66</v>
      </c>
      <c r="C13" s="44">
        <v>5.0000000000000001E-3</v>
      </c>
      <c r="D13" s="45">
        <v>1.4999999999999999E-2</v>
      </c>
      <c r="E13" s="44">
        <v>5.0000000000000001E-3</v>
      </c>
      <c r="F13" s="45">
        <v>0.01</v>
      </c>
    </row>
    <row r="14" spans="1:6" x14ac:dyDescent="0.25">
      <c r="B14" s="48" t="s">
        <v>12</v>
      </c>
      <c r="C14" s="44">
        <v>5.0000000000000001E-3</v>
      </c>
      <c r="D14" s="45">
        <v>1.4999999999999999E-2</v>
      </c>
      <c r="E14" s="44">
        <v>5.0000000000000001E-3</v>
      </c>
      <c r="F14" s="45">
        <v>0.01</v>
      </c>
    </row>
    <row r="15" spans="1:6" ht="15.75" thickBot="1" x14ac:dyDescent="0.3">
      <c r="B15" s="48" t="s">
        <v>13</v>
      </c>
      <c r="C15" s="46">
        <v>7.4999999999999997E-3</v>
      </c>
      <c r="D15" s="47">
        <v>1.4999999999999999E-2</v>
      </c>
      <c r="E15" s="46">
        <v>7.4999999999999997E-3</v>
      </c>
      <c r="F15" s="47">
        <v>0.01</v>
      </c>
    </row>
    <row r="17" spans="1:6" hidden="1" x14ac:dyDescent="0.25">
      <c r="B17" s="41"/>
      <c r="C17" s="41"/>
      <c r="D17" s="3"/>
      <c r="E17" s="2"/>
      <c r="F17" s="38"/>
    </row>
    <row r="18" spans="1:6" x14ac:dyDescent="0.25">
      <c r="B18" s="42" t="s">
        <v>7</v>
      </c>
      <c r="C18" s="163" t="s">
        <v>21</v>
      </c>
      <c r="D18" s="163"/>
      <c r="E18" s="3">
        <v>2.5000000000000001E-3</v>
      </c>
      <c r="F18" s="38"/>
    </row>
    <row r="19" spans="1:6" x14ac:dyDescent="0.25">
      <c r="F19" s="38"/>
    </row>
    <row r="21" spans="1:6" x14ac:dyDescent="0.25">
      <c r="F21" s="35" t="s">
        <v>36</v>
      </c>
    </row>
    <row r="24" spans="1:6" x14ac:dyDescent="0.25">
      <c r="A24" s="164" t="s">
        <v>37</v>
      </c>
      <c r="B24" s="164"/>
    </row>
    <row r="27" spans="1:6" x14ac:dyDescent="0.25">
      <c r="B27" s="35" t="s">
        <v>31</v>
      </c>
      <c r="D27" s="35" t="s">
        <v>24</v>
      </c>
      <c r="F27" s="35" t="s">
        <v>23</v>
      </c>
    </row>
  </sheetData>
  <mergeCells count="4">
    <mergeCell ref="C18:D18"/>
    <mergeCell ref="A24:B24"/>
    <mergeCell ref="C9:D9"/>
    <mergeCell ref="E9:F9"/>
  </mergeCells>
  <pageMargins left="0.7" right="0.7" top="0.75" bottom="0.75" header="0.3" footer="0.3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J33"/>
  <sheetViews>
    <sheetView showGridLines="0" view="pageBreakPreview" topLeftCell="A4" zoomScaleNormal="100" zoomScaleSheetLayoutView="100" workbookViewId="0">
      <selection activeCell="O7" sqref="H7:O26"/>
    </sheetView>
  </sheetViews>
  <sheetFormatPr defaultColWidth="9.140625" defaultRowHeight="15" x14ac:dyDescent="0.25"/>
  <cols>
    <col min="1" max="1" width="3.85546875" style="35" customWidth="1"/>
    <col min="2" max="2" width="16.42578125" style="35" customWidth="1"/>
    <col min="3" max="3" width="20.85546875" style="35" customWidth="1"/>
    <col min="4" max="4" width="19.28515625" style="57" customWidth="1"/>
    <col min="5" max="5" width="17.28515625" style="57" customWidth="1"/>
    <col min="6" max="6" width="16.140625" style="57" customWidth="1"/>
    <col min="7" max="7" width="8.140625" style="35" customWidth="1"/>
    <col min="8" max="8" width="8.85546875" style="59" bestFit="1" customWidth="1"/>
    <col min="9" max="9" width="15.7109375" style="5" bestFit="1" customWidth="1"/>
    <col min="10" max="10" width="24.42578125" style="5" bestFit="1" customWidth="1"/>
    <col min="11" max="14" width="8.140625" style="35" customWidth="1"/>
    <col min="15" max="16384" width="9.140625" style="35"/>
  </cols>
  <sheetData>
    <row r="1" spans="2:10" ht="25.15" customHeight="1" x14ac:dyDescent="0.25">
      <c r="B1" s="39"/>
    </row>
    <row r="2" spans="2:10" ht="25.15" customHeight="1" x14ac:dyDescent="0.25"/>
    <row r="3" spans="2:10" ht="25.15" customHeight="1" x14ac:dyDescent="0.25"/>
    <row r="4" spans="2:10" ht="34.9" customHeight="1" x14ac:dyDescent="0.25">
      <c r="B4" s="25" t="s">
        <v>18</v>
      </c>
      <c r="H4" s="35"/>
      <c r="I4" s="35"/>
      <c r="J4" s="35"/>
    </row>
    <row r="5" spans="2:10" x14ac:dyDescent="0.25">
      <c r="B5" s="12"/>
      <c r="F5" s="57" t="s">
        <v>74</v>
      </c>
      <c r="H5" s="35"/>
      <c r="I5" s="35"/>
      <c r="J5" s="35"/>
    </row>
    <row r="6" spans="2:10" x14ac:dyDescent="0.25">
      <c r="B6" s="12"/>
      <c r="F6" s="57" t="s">
        <v>32</v>
      </c>
      <c r="H6" s="35"/>
      <c r="I6" s="35"/>
      <c r="J6" s="35"/>
    </row>
    <row r="7" spans="2:10" ht="15.75" thickBot="1" x14ac:dyDescent="0.3">
      <c r="B7" s="12"/>
      <c r="H7" s="35"/>
      <c r="I7" s="35"/>
      <c r="J7" s="35"/>
    </row>
    <row r="8" spans="2:10" ht="18" thickBot="1" x14ac:dyDescent="0.35">
      <c r="B8" s="12"/>
      <c r="C8" s="5"/>
      <c r="D8" s="63" t="s">
        <v>53</v>
      </c>
      <c r="E8" s="63" t="s">
        <v>4</v>
      </c>
      <c r="F8" s="63" t="s">
        <v>5</v>
      </c>
      <c r="H8" s="35"/>
      <c r="I8" s="35"/>
      <c r="J8" s="35"/>
    </row>
    <row r="9" spans="2:10" ht="15.75" thickBot="1" x14ac:dyDescent="0.3">
      <c r="B9" s="171" t="s">
        <v>0</v>
      </c>
      <c r="C9" s="61" t="s">
        <v>1</v>
      </c>
      <c r="D9" s="62">
        <v>0.01</v>
      </c>
      <c r="E9" s="62">
        <v>1.4999999999999999E-2</v>
      </c>
      <c r="F9" s="62"/>
      <c r="H9" s="35"/>
      <c r="I9" s="35"/>
      <c r="J9" s="35"/>
    </row>
    <row r="10" spans="2:10" ht="15.75" thickBot="1" x14ac:dyDescent="0.3">
      <c r="B10" s="171"/>
      <c r="C10" s="61" t="s">
        <v>2</v>
      </c>
      <c r="D10" s="62">
        <v>1.2500000000000001E-2</v>
      </c>
      <c r="E10" s="62">
        <v>1.7500000000000002E-2</v>
      </c>
      <c r="F10" s="62">
        <v>0.03</v>
      </c>
      <c r="H10" s="35"/>
      <c r="I10" s="35"/>
      <c r="J10" s="35"/>
    </row>
    <row r="11" spans="2:10" ht="15.75" thickBot="1" x14ac:dyDescent="0.3">
      <c r="B11" s="12"/>
      <c r="C11" s="5"/>
      <c r="D11" s="58"/>
      <c r="E11" s="58"/>
      <c r="F11" s="58"/>
      <c r="H11" s="35"/>
      <c r="I11" s="35"/>
      <c r="J11" s="35"/>
    </row>
    <row r="12" spans="2:10" ht="18" thickBot="1" x14ac:dyDescent="0.35">
      <c r="B12" s="12"/>
      <c r="C12" s="5"/>
      <c r="D12" s="63" t="s">
        <v>53</v>
      </c>
      <c r="E12" s="63" t="s">
        <v>4</v>
      </c>
      <c r="F12" s="63" t="s">
        <v>5</v>
      </c>
      <c r="H12" s="35"/>
      <c r="I12" s="35"/>
      <c r="J12" s="35"/>
    </row>
    <row r="13" spans="2:10" ht="15.75" thickBot="1" x14ac:dyDescent="0.3">
      <c r="B13" s="171" t="s">
        <v>6</v>
      </c>
      <c r="C13" s="61" t="s">
        <v>1</v>
      </c>
      <c r="D13" s="62">
        <v>1.4999999999999999E-2</v>
      </c>
      <c r="E13" s="62">
        <v>2.2499999999999999E-2</v>
      </c>
      <c r="F13" s="62"/>
      <c r="H13" s="35"/>
      <c r="I13" s="156"/>
      <c r="J13" s="157"/>
    </row>
    <row r="14" spans="2:10" ht="15.75" thickBot="1" x14ac:dyDescent="0.3">
      <c r="B14" s="171"/>
      <c r="C14" s="61" t="s">
        <v>2</v>
      </c>
      <c r="D14" s="62">
        <v>0.02</v>
      </c>
      <c r="E14" s="62">
        <v>0.03</v>
      </c>
      <c r="F14" s="62">
        <v>0.04</v>
      </c>
      <c r="H14" s="35"/>
      <c r="I14" s="158"/>
      <c r="J14" s="159"/>
    </row>
    <row r="15" spans="2:10" ht="15.75" thickBot="1" x14ac:dyDescent="0.3">
      <c r="B15" s="12"/>
      <c r="C15" s="5"/>
      <c r="D15" s="58"/>
      <c r="E15" s="58"/>
      <c r="F15" s="58"/>
      <c r="H15" s="35"/>
      <c r="I15" s="160"/>
      <c r="J15" s="161"/>
    </row>
    <row r="16" spans="2:10" ht="18" thickBot="1" x14ac:dyDescent="0.35">
      <c r="B16" s="12"/>
      <c r="C16" s="5"/>
      <c r="D16" s="63" t="s">
        <v>53</v>
      </c>
      <c r="E16" s="63" t="s">
        <v>4</v>
      </c>
      <c r="F16" s="63" t="s">
        <v>5</v>
      </c>
      <c r="H16" s="35"/>
      <c r="I16" s="160"/>
      <c r="J16" s="161"/>
    </row>
    <row r="17" spans="2:10" ht="15.75" thickBot="1" x14ac:dyDescent="0.3">
      <c r="B17" s="171" t="s">
        <v>26</v>
      </c>
      <c r="C17" s="61" t="s">
        <v>6</v>
      </c>
      <c r="D17" s="62">
        <v>0.02</v>
      </c>
      <c r="E17" s="62">
        <v>0.02</v>
      </c>
      <c r="F17" s="62"/>
      <c r="H17" s="35"/>
      <c r="I17" s="160"/>
      <c r="J17" s="161"/>
    </row>
    <row r="18" spans="2:10" ht="15.75" thickBot="1" x14ac:dyDescent="0.3">
      <c r="B18" s="171"/>
      <c r="C18" s="61" t="s">
        <v>0</v>
      </c>
      <c r="D18" s="62">
        <v>1.4999999999999999E-2</v>
      </c>
      <c r="E18" s="62">
        <v>1.4999999999999999E-2</v>
      </c>
      <c r="F18" s="62">
        <v>1.4999999999999999E-2</v>
      </c>
      <c r="H18" s="35"/>
      <c r="I18" s="160"/>
      <c r="J18" s="161"/>
    </row>
    <row r="19" spans="2:10" ht="15.75" thickBot="1" x14ac:dyDescent="0.3">
      <c r="B19" s="12"/>
      <c r="C19" s="5"/>
      <c r="D19" s="58"/>
      <c r="E19" s="58"/>
      <c r="F19" s="58"/>
      <c r="H19" s="35"/>
      <c r="I19" s="35"/>
      <c r="J19" s="35"/>
    </row>
    <row r="20" spans="2:10" ht="18" thickBot="1" x14ac:dyDescent="0.35">
      <c r="B20" s="12"/>
      <c r="C20" s="5"/>
      <c r="D20" s="63" t="s">
        <v>53</v>
      </c>
      <c r="E20" s="63" t="s">
        <v>4</v>
      </c>
      <c r="F20" s="63" t="s">
        <v>5</v>
      </c>
      <c r="H20" s="35"/>
      <c r="I20" s="35"/>
      <c r="J20" s="35"/>
    </row>
    <row r="21" spans="2:10" ht="15.75" thickBot="1" x14ac:dyDescent="0.3">
      <c r="B21" s="171" t="s">
        <v>7</v>
      </c>
      <c r="C21" s="61" t="s">
        <v>1</v>
      </c>
      <c r="D21" s="62">
        <v>5.0000000000000001E-3</v>
      </c>
      <c r="E21" s="62">
        <v>7.4999999999999997E-3</v>
      </c>
      <c r="F21" s="62"/>
      <c r="H21" s="106"/>
      <c r="I21" s="106"/>
      <c r="J21" s="106"/>
    </row>
    <row r="22" spans="2:10" ht="15.75" thickBot="1" x14ac:dyDescent="0.3">
      <c r="B22" s="171"/>
      <c r="C22" s="61" t="s">
        <v>2</v>
      </c>
      <c r="D22" s="62">
        <v>7.4999999999999997E-3</v>
      </c>
      <c r="E22" s="62">
        <v>0.01</v>
      </c>
      <c r="F22" s="62">
        <v>1.4999999999999999E-2</v>
      </c>
      <c r="H22" s="38"/>
      <c r="I22" s="38"/>
      <c r="J22" s="38"/>
    </row>
    <row r="23" spans="2:10" ht="15.75" thickBot="1" x14ac:dyDescent="0.3">
      <c r="B23" s="82"/>
      <c r="C23" s="5"/>
      <c r="D23" s="83"/>
      <c r="E23" s="83"/>
      <c r="F23" s="83"/>
      <c r="H23" s="35"/>
      <c r="I23" s="35"/>
      <c r="J23" s="35"/>
    </row>
    <row r="24" spans="2:10" ht="18" thickBot="1" x14ac:dyDescent="0.35">
      <c r="B24" s="12"/>
      <c r="C24" s="5"/>
      <c r="D24" s="63" t="s">
        <v>53</v>
      </c>
      <c r="E24" s="63" t="s">
        <v>4</v>
      </c>
      <c r="F24" s="63" t="s">
        <v>5</v>
      </c>
      <c r="H24" s="35"/>
      <c r="I24" s="99"/>
      <c r="J24" s="35"/>
    </row>
    <row r="25" spans="2:10" ht="15.75" thickBot="1" x14ac:dyDescent="0.3">
      <c r="B25" s="171" t="s">
        <v>64</v>
      </c>
      <c r="C25" s="61" t="s">
        <v>1</v>
      </c>
      <c r="D25" s="169">
        <v>2.5000000000000001E-3</v>
      </c>
      <c r="E25" s="169">
        <v>5.0000000000000001E-3</v>
      </c>
      <c r="F25" s="62"/>
      <c r="H25" s="35"/>
      <c r="I25" s="35"/>
      <c r="J25" s="35"/>
    </row>
    <row r="26" spans="2:10" ht="15.75" thickBot="1" x14ac:dyDescent="0.3">
      <c r="B26" s="171"/>
      <c r="C26" s="61" t="s">
        <v>2</v>
      </c>
      <c r="D26" s="170"/>
      <c r="E26" s="170">
        <v>7.4999999999999997E-3</v>
      </c>
      <c r="F26" s="62">
        <v>7.4999999999999997E-3</v>
      </c>
      <c r="H26" s="35"/>
      <c r="I26" s="35"/>
      <c r="J26" s="35"/>
    </row>
    <row r="27" spans="2:10" x14ac:dyDescent="0.25">
      <c r="F27" s="57" t="s">
        <v>36</v>
      </c>
      <c r="H27" s="35"/>
      <c r="I27" s="35"/>
      <c r="J27" s="35"/>
    </row>
    <row r="28" spans="2:10" x14ac:dyDescent="0.25">
      <c r="H28" s="35"/>
      <c r="I28" s="35"/>
      <c r="J28" s="35"/>
    </row>
    <row r="29" spans="2:10" x14ac:dyDescent="0.25">
      <c r="H29" s="35"/>
      <c r="I29" s="35"/>
      <c r="J29" s="35"/>
    </row>
    <row r="30" spans="2:10" x14ac:dyDescent="0.25">
      <c r="B30" s="164" t="s">
        <v>37</v>
      </c>
      <c r="C30" s="164"/>
      <c r="H30" s="35"/>
      <c r="I30" s="35"/>
      <c r="J30" s="35"/>
    </row>
    <row r="31" spans="2:10" x14ac:dyDescent="0.25">
      <c r="H31" s="35"/>
      <c r="I31" s="35"/>
      <c r="J31" s="35"/>
    </row>
    <row r="32" spans="2:10" x14ac:dyDescent="0.25">
      <c r="H32" s="35"/>
      <c r="I32" s="35"/>
      <c r="J32" s="35"/>
    </row>
    <row r="33" spans="2:6" x14ac:dyDescent="0.25">
      <c r="B33" s="35" t="s">
        <v>31</v>
      </c>
      <c r="D33" s="57" t="s">
        <v>24</v>
      </c>
      <c r="F33" s="57" t="s">
        <v>23</v>
      </c>
    </row>
  </sheetData>
  <mergeCells count="8">
    <mergeCell ref="D25:D26"/>
    <mergeCell ref="E25:E26"/>
    <mergeCell ref="B17:B18"/>
    <mergeCell ref="B30:C30"/>
    <mergeCell ref="B9:B10"/>
    <mergeCell ref="B13:B14"/>
    <mergeCell ref="B21:B22"/>
    <mergeCell ref="B25:B26"/>
  </mergeCells>
  <pageMargins left="0.6" right="0.7" top="0.79" bottom="0.75" header="0.3" footer="0.3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4"/>
  <sheetViews>
    <sheetView view="pageBreakPreview" zoomScale="98" zoomScaleNormal="100" zoomScaleSheetLayoutView="98" workbookViewId="0">
      <selection activeCell="E2" sqref="E2"/>
    </sheetView>
  </sheetViews>
  <sheetFormatPr defaultRowHeight="15" x14ac:dyDescent="0.25"/>
  <cols>
    <col min="1" max="1" width="13.5703125" customWidth="1"/>
    <col min="2" max="2" width="24.7109375" customWidth="1"/>
    <col min="3" max="3" width="15" customWidth="1"/>
    <col min="4" max="4" width="11.42578125" customWidth="1"/>
    <col min="5" max="5" width="18.85546875" customWidth="1"/>
  </cols>
  <sheetData>
    <row r="1" spans="1:14" ht="67.5" customHeight="1" x14ac:dyDescent="0.25">
      <c r="A1" s="43" t="s">
        <v>19</v>
      </c>
    </row>
    <row r="2" spans="1:14" s="35" customFormat="1" x14ac:dyDescent="0.25">
      <c r="A2" s="36"/>
      <c r="E2" s="35" t="s">
        <v>74</v>
      </c>
      <c r="F2" s="37"/>
    </row>
    <row r="3" spans="1:14" s="35" customFormat="1" x14ac:dyDescent="0.25">
      <c r="A3" s="36"/>
      <c r="E3" s="35" t="s">
        <v>33</v>
      </c>
      <c r="F3" s="37"/>
    </row>
    <row r="4" spans="1:14" ht="14.25" customHeight="1" x14ac:dyDescent="0.25">
      <c r="B4" s="19"/>
    </row>
    <row r="5" spans="1:14" x14ac:dyDescent="0.25">
      <c r="A5" s="5"/>
      <c r="B5" s="5"/>
      <c r="C5" s="9" t="s">
        <v>3</v>
      </c>
      <c r="D5" s="9" t="s">
        <v>4</v>
      </c>
      <c r="E5" s="9" t="s">
        <v>5</v>
      </c>
    </row>
    <row r="6" spans="1:14" x14ac:dyDescent="0.25">
      <c r="A6" s="173" t="s">
        <v>0</v>
      </c>
      <c r="B6" s="2" t="s">
        <v>1</v>
      </c>
      <c r="C6" s="3">
        <v>7.4999999999999997E-3</v>
      </c>
      <c r="D6" s="3">
        <v>1.4999999999999999E-2</v>
      </c>
      <c r="E6" s="3">
        <v>0.02</v>
      </c>
    </row>
    <row r="7" spans="1:14" x14ac:dyDescent="0.25">
      <c r="A7" s="173"/>
      <c r="B7" s="2" t="s">
        <v>2</v>
      </c>
      <c r="C7" s="4">
        <v>0.01</v>
      </c>
      <c r="D7" s="3">
        <v>0.02</v>
      </c>
      <c r="E7" s="3">
        <v>0.03</v>
      </c>
      <c r="N7" s="84"/>
    </row>
    <row r="8" spans="1:14" ht="12.75" customHeight="1" x14ac:dyDescent="0.25">
      <c r="A8" s="5"/>
      <c r="B8" s="5"/>
      <c r="C8" s="5"/>
      <c r="D8" s="5"/>
      <c r="E8" s="5"/>
    </row>
    <row r="9" spans="1:14" ht="137.25" hidden="1" customHeight="1" x14ac:dyDescent="0.25">
      <c r="A9" s="5"/>
      <c r="B9" s="5"/>
      <c r="C9" s="5"/>
      <c r="D9" s="5"/>
      <c r="E9" s="5"/>
    </row>
    <row r="10" spans="1:14" x14ac:dyDescent="0.25">
      <c r="A10" s="5"/>
      <c r="B10" s="5"/>
      <c r="C10" s="9" t="s">
        <v>3</v>
      </c>
      <c r="D10" s="9" t="s">
        <v>4</v>
      </c>
      <c r="E10" s="9" t="s">
        <v>5</v>
      </c>
    </row>
    <row r="11" spans="1:14" x14ac:dyDescent="0.25">
      <c r="A11" s="172" t="s">
        <v>6</v>
      </c>
      <c r="B11" s="2" t="s">
        <v>1</v>
      </c>
      <c r="C11" s="3">
        <v>1.2500000000000001E-2</v>
      </c>
      <c r="D11" s="3">
        <v>1.7500000000000002E-2</v>
      </c>
      <c r="E11" s="3">
        <v>2.5000000000000001E-2</v>
      </c>
    </row>
    <row r="12" spans="1:14" x14ac:dyDescent="0.25">
      <c r="A12" s="172"/>
      <c r="B12" s="2" t="s">
        <v>2</v>
      </c>
      <c r="C12" s="3">
        <v>1.4999999999999999E-2</v>
      </c>
      <c r="D12" s="3">
        <v>2.5000000000000001E-2</v>
      </c>
      <c r="E12" s="3">
        <v>0.04</v>
      </c>
    </row>
    <row r="13" spans="1:14" x14ac:dyDescent="0.25">
      <c r="A13" s="5"/>
      <c r="B13" s="5"/>
      <c r="C13" s="5"/>
      <c r="D13" s="5"/>
      <c r="E13" s="5"/>
    </row>
    <row r="14" spans="1:14" x14ac:dyDescent="0.25">
      <c r="A14" s="5"/>
      <c r="B14" s="5"/>
      <c r="C14" s="9" t="s">
        <v>3</v>
      </c>
      <c r="D14" s="9" t="s">
        <v>4</v>
      </c>
      <c r="E14" s="9" t="s">
        <v>5</v>
      </c>
    </row>
    <row r="15" spans="1:14" x14ac:dyDescent="0.25">
      <c r="A15" s="172" t="s">
        <v>26</v>
      </c>
      <c r="B15" s="7" t="s">
        <v>6</v>
      </c>
      <c r="C15" s="3">
        <v>0.02</v>
      </c>
      <c r="D15" s="3">
        <v>0.02</v>
      </c>
      <c r="E15" s="3">
        <v>0.02</v>
      </c>
    </row>
    <row r="16" spans="1:14" x14ac:dyDescent="0.25">
      <c r="A16" s="172"/>
      <c r="B16" s="6" t="s">
        <v>0</v>
      </c>
      <c r="C16" s="3">
        <v>1.4999999999999999E-2</v>
      </c>
      <c r="D16" s="3">
        <v>1.4999999999999999E-2</v>
      </c>
      <c r="E16" s="3">
        <v>1.4999999999999999E-2</v>
      </c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9" t="s">
        <v>3</v>
      </c>
      <c r="D18" s="9" t="s">
        <v>4</v>
      </c>
      <c r="E18" s="9" t="s">
        <v>5</v>
      </c>
    </row>
    <row r="19" spans="1:5" x14ac:dyDescent="0.25">
      <c r="A19" s="5"/>
      <c r="B19" s="2" t="s">
        <v>8</v>
      </c>
      <c r="C19" s="3">
        <v>5.0000000000000001E-3</v>
      </c>
      <c r="D19" s="3">
        <v>7.4999999999999997E-3</v>
      </c>
      <c r="E19" s="3"/>
    </row>
    <row r="20" spans="1:5" x14ac:dyDescent="0.25">
      <c r="A20" s="8" t="s">
        <v>7</v>
      </c>
      <c r="B20" s="2" t="s">
        <v>9</v>
      </c>
      <c r="C20" s="3">
        <v>5.0000000000000001E-3</v>
      </c>
      <c r="D20" s="3">
        <v>7.4999999999999997E-3</v>
      </c>
      <c r="E20" s="3"/>
    </row>
    <row r="21" spans="1:5" x14ac:dyDescent="0.25">
      <c r="A21" s="5"/>
      <c r="B21" s="2" t="s">
        <v>2</v>
      </c>
      <c r="C21" s="3">
        <v>7.4999999999999997E-3</v>
      </c>
      <c r="D21" s="4">
        <v>0.01</v>
      </c>
      <c r="E21" s="3">
        <v>1.4999999999999999E-2</v>
      </c>
    </row>
    <row r="23" spans="1:5" x14ac:dyDescent="0.25">
      <c r="A23" s="5"/>
      <c r="B23" s="5"/>
      <c r="C23" s="9" t="s">
        <v>3</v>
      </c>
      <c r="D23" s="9" t="s">
        <v>4</v>
      </c>
      <c r="E23" s="9" t="s">
        <v>5</v>
      </c>
    </row>
    <row r="24" spans="1:5" x14ac:dyDescent="0.25">
      <c r="A24" s="8" t="s">
        <v>64</v>
      </c>
      <c r="B24" s="2" t="s">
        <v>65</v>
      </c>
      <c r="C24" s="3">
        <v>2.5000000000000001E-3</v>
      </c>
      <c r="D24" s="3">
        <v>5.0000000000000001E-3</v>
      </c>
      <c r="E24" s="3"/>
    </row>
    <row r="25" spans="1:5" x14ac:dyDescent="0.25">
      <c r="A25" s="5"/>
    </row>
    <row r="28" spans="1:5" x14ac:dyDescent="0.25">
      <c r="A28" s="35"/>
      <c r="B28" s="35"/>
      <c r="C28" s="35"/>
      <c r="D28" s="35"/>
      <c r="E28" s="35" t="s">
        <v>36</v>
      </c>
    </row>
    <row r="29" spans="1:5" x14ac:dyDescent="0.25">
      <c r="A29" s="35"/>
      <c r="B29" s="35"/>
      <c r="C29" s="35"/>
      <c r="D29" s="35"/>
      <c r="E29" s="35"/>
    </row>
    <row r="30" spans="1:5" x14ac:dyDescent="0.25">
      <c r="A30" s="35"/>
      <c r="B30" s="35"/>
      <c r="C30" s="35"/>
      <c r="D30" s="35"/>
      <c r="E30" s="35"/>
    </row>
    <row r="31" spans="1:5" x14ac:dyDescent="0.25">
      <c r="A31" s="164" t="s">
        <v>37</v>
      </c>
      <c r="B31" s="164"/>
      <c r="C31" s="35"/>
      <c r="D31" s="35"/>
      <c r="E31" s="35"/>
    </row>
    <row r="32" spans="1:5" x14ac:dyDescent="0.25">
      <c r="A32" s="35"/>
      <c r="B32" s="35"/>
      <c r="C32" s="35"/>
      <c r="D32" s="35"/>
      <c r="E32" s="35"/>
    </row>
    <row r="33" spans="1:5" x14ac:dyDescent="0.25">
      <c r="A33" s="35"/>
      <c r="B33" s="35"/>
      <c r="C33" s="35"/>
      <c r="D33" s="35"/>
      <c r="E33" s="35"/>
    </row>
    <row r="34" spans="1:5" x14ac:dyDescent="0.25">
      <c r="A34" s="164" t="s">
        <v>31</v>
      </c>
      <c r="B34" s="164"/>
      <c r="C34" s="35" t="s">
        <v>24</v>
      </c>
      <c r="D34" s="35"/>
      <c r="E34" s="35" t="s">
        <v>23</v>
      </c>
    </row>
  </sheetData>
  <mergeCells count="5">
    <mergeCell ref="A15:A16"/>
    <mergeCell ref="A31:B31"/>
    <mergeCell ref="A34:B34"/>
    <mergeCell ref="A6:A7"/>
    <mergeCell ref="A11:A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48"/>
  <sheetViews>
    <sheetView view="pageBreakPreview" zoomScale="115" zoomScaleNormal="100" zoomScaleSheetLayoutView="115" workbookViewId="0">
      <selection activeCell="L42" sqref="L42"/>
    </sheetView>
  </sheetViews>
  <sheetFormatPr defaultRowHeight="15" x14ac:dyDescent="0.25"/>
  <cols>
    <col min="1" max="1" width="14.7109375" customWidth="1"/>
    <col min="2" max="2" width="17.5703125" customWidth="1"/>
    <col min="3" max="3" width="15.7109375" customWidth="1"/>
    <col min="4" max="4" width="14.5703125" customWidth="1"/>
    <col min="5" max="5" width="19.5703125" customWidth="1"/>
  </cols>
  <sheetData>
    <row r="1" spans="1:8" ht="62.25" customHeight="1" x14ac:dyDescent="0.25">
      <c r="A1" s="11" t="s">
        <v>27</v>
      </c>
      <c r="B1" s="12"/>
      <c r="C1" s="34"/>
      <c r="D1" s="34"/>
      <c r="E1" s="34"/>
      <c r="F1" s="17"/>
    </row>
    <row r="2" spans="1:8" s="35" customFormat="1" x14ac:dyDescent="0.25">
      <c r="A2" s="36"/>
      <c r="E2" s="35" t="s">
        <v>74</v>
      </c>
      <c r="F2" s="37"/>
    </row>
    <row r="3" spans="1:8" s="35" customFormat="1" x14ac:dyDescent="0.25">
      <c r="A3" s="36"/>
      <c r="E3" s="35" t="s">
        <v>33</v>
      </c>
      <c r="F3" s="37"/>
    </row>
    <row r="4" spans="1:8" ht="15.75" customHeight="1" x14ac:dyDescent="0.25">
      <c r="B4" s="5"/>
      <c r="C4" s="10"/>
      <c r="D4" s="10"/>
      <c r="E4" s="10"/>
    </row>
    <row r="5" spans="1:8" x14ac:dyDescent="0.25">
      <c r="A5" s="5"/>
      <c r="B5" s="5"/>
      <c r="C5" s="2" t="s">
        <v>3</v>
      </c>
      <c r="D5" s="2" t="s">
        <v>4</v>
      </c>
      <c r="E5" s="2" t="s">
        <v>5</v>
      </c>
    </row>
    <row r="6" spans="1:8" x14ac:dyDescent="0.25">
      <c r="A6" s="173" t="s">
        <v>0</v>
      </c>
      <c r="B6" s="2" t="s">
        <v>1</v>
      </c>
      <c r="C6" s="3">
        <v>0.01</v>
      </c>
      <c r="D6" s="3">
        <v>1.4999999999999999E-2</v>
      </c>
      <c r="E6" s="3"/>
    </row>
    <row r="7" spans="1:8" ht="14.25" customHeight="1" x14ac:dyDescent="0.25">
      <c r="A7" s="173"/>
      <c r="B7" s="2" t="s">
        <v>2</v>
      </c>
      <c r="C7" s="3">
        <v>1.2500000000000001E-2</v>
      </c>
      <c r="D7" s="3">
        <v>1.7500000000000002E-2</v>
      </c>
      <c r="E7" s="3">
        <v>2.5000000000000001E-2</v>
      </c>
    </row>
    <row r="8" spans="1:8" ht="15" hidden="1" customHeight="1" x14ac:dyDescent="0.25">
      <c r="A8" s="5"/>
      <c r="B8" s="5"/>
      <c r="C8" s="5"/>
      <c r="D8" s="5"/>
      <c r="E8" s="5"/>
    </row>
    <row r="9" spans="1:8" ht="9" customHeight="1" x14ac:dyDescent="0.25">
      <c r="A9" s="5"/>
      <c r="B9" s="5"/>
      <c r="C9" s="5"/>
      <c r="D9" s="5"/>
      <c r="E9" s="5"/>
    </row>
    <row r="10" spans="1:8" x14ac:dyDescent="0.25">
      <c r="A10" s="5"/>
      <c r="B10" s="5"/>
      <c r="C10" s="9" t="s">
        <v>3</v>
      </c>
      <c r="D10" s="9" t="s">
        <v>4</v>
      </c>
      <c r="E10" s="9" t="s">
        <v>5</v>
      </c>
      <c r="H10" s="1"/>
    </row>
    <row r="11" spans="1:8" x14ac:dyDescent="0.25">
      <c r="A11" s="172" t="s">
        <v>6</v>
      </c>
      <c r="B11" s="2" t="s">
        <v>1</v>
      </c>
      <c r="C11" s="3">
        <v>1.4999999999999999E-2</v>
      </c>
      <c r="D11" s="3">
        <v>2.5000000000000001E-2</v>
      </c>
      <c r="E11" s="3"/>
    </row>
    <row r="12" spans="1:8" x14ac:dyDescent="0.25">
      <c r="A12" s="172"/>
      <c r="B12" s="2" t="s">
        <v>2</v>
      </c>
      <c r="C12" s="3">
        <v>1.4999999999999999E-2</v>
      </c>
      <c r="D12" s="3">
        <v>2.5000000000000001E-2</v>
      </c>
      <c r="E12" s="3">
        <v>3.5000000000000003E-2</v>
      </c>
    </row>
    <row r="13" spans="1:8" x14ac:dyDescent="0.25">
      <c r="A13" s="5"/>
      <c r="B13" s="5"/>
      <c r="C13" s="5"/>
      <c r="D13" s="5"/>
      <c r="E13" s="5"/>
    </row>
    <row r="14" spans="1:8" x14ac:dyDescent="0.25">
      <c r="A14" s="5"/>
      <c r="B14" s="5"/>
      <c r="C14" s="9" t="s">
        <v>3</v>
      </c>
      <c r="D14" s="9" t="s">
        <v>4</v>
      </c>
      <c r="E14" s="9" t="s">
        <v>5</v>
      </c>
    </row>
    <row r="15" spans="1:8" x14ac:dyDescent="0.25">
      <c r="A15" s="172" t="s">
        <v>26</v>
      </c>
      <c r="B15" s="7" t="s">
        <v>6</v>
      </c>
      <c r="C15" s="3">
        <v>0.02</v>
      </c>
      <c r="D15" s="3">
        <v>0.02</v>
      </c>
      <c r="E15" s="3">
        <v>0.02</v>
      </c>
    </row>
    <row r="16" spans="1:8" x14ac:dyDescent="0.25">
      <c r="A16" s="172"/>
      <c r="B16" s="6" t="s">
        <v>0</v>
      </c>
      <c r="C16" s="3">
        <v>1.4999999999999999E-2</v>
      </c>
      <c r="D16" s="3">
        <v>1.4999999999999999E-2</v>
      </c>
      <c r="E16" s="3">
        <v>1.4999999999999999E-2</v>
      </c>
    </row>
    <row r="17" spans="1:5" x14ac:dyDescent="0.25">
      <c r="A17" s="5"/>
      <c r="B17" s="5"/>
      <c r="C17" s="5"/>
      <c r="D17" s="5"/>
      <c r="E17" s="5"/>
    </row>
    <row r="18" spans="1:5" ht="16.5" customHeight="1" x14ac:dyDescent="0.25">
      <c r="A18" s="5"/>
      <c r="B18" s="5"/>
      <c r="C18" s="2" t="s">
        <v>3</v>
      </c>
      <c r="D18" s="2" t="s">
        <v>4</v>
      </c>
      <c r="E18" s="2" t="s">
        <v>5</v>
      </c>
    </row>
    <row r="19" spans="1:5" x14ac:dyDescent="0.25">
      <c r="A19" s="8" t="s">
        <v>7</v>
      </c>
      <c r="B19" s="2" t="s">
        <v>1</v>
      </c>
      <c r="C19" s="3">
        <v>5.0000000000000001E-3</v>
      </c>
      <c r="D19" s="3">
        <v>7.4999999999999997E-3</v>
      </c>
      <c r="E19" s="3">
        <v>0.01</v>
      </c>
    </row>
    <row r="20" spans="1:5" x14ac:dyDescent="0.25">
      <c r="A20" s="5"/>
      <c r="B20" s="2" t="s">
        <v>2</v>
      </c>
      <c r="C20" s="3">
        <v>7.4999999999999997E-3</v>
      </c>
      <c r="D20" s="4">
        <v>0.01</v>
      </c>
      <c r="E20" s="3">
        <v>1.4999999999999999E-2</v>
      </c>
    </row>
    <row r="21" spans="1:5" ht="22.5" customHeight="1" x14ac:dyDescent="0.25"/>
    <row r="22" spans="1:5" ht="21.75" customHeight="1" x14ac:dyDescent="0.25">
      <c r="B22" s="5"/>
      <c r="C22" s="9" t="s">
        <v>3</v>
      </c>
      <c r="D22" s="9" t="s">
        <v>4</v>
      </c>
      <c r="E22" s="9" t="s">
        <v>5</v>
      </c>
    </row>
    <row r="23" spans="1:5" x14ac:dyDescent="0.25">
      <c r="A23" s="176" t="s">
        <v>15</v>
      </c>
      <c r="B23" s="2" t="s">
        <v>1</v>
      </c>
      <c r="C23" s="174">
        <v>2.5000000000000001E-3</v>
      </c>
      <c r="D23" s="174">
        <v>5.0000000000000001E-3</v>
      </c>
      <c r="E23" s="174">
        <v>5.0000000000000001E-3</v>
      </c>
    </row>
    <row r="24" spans="1:5" x14ac:dyDescent="0.25">
      <c r="A24" s="176"/>
      <c r="B24" s="2" t="s">
        <v>2</v>
      </c>
      <c r="C24" s="175"/>
      <c r="D24" s="175">
        <v>7.4999999999999997E-3</v>
      </c>
      <c r="E24" s="175">
        <v>7.4999999999999997E-3</v>
      </c>
    </row>
    <row r="25" spans="1:5" ht="27" customHeight="1" x14ac:dyDescent="0.25"/>
    <row r="28" spans="1:5" x14ac:dyDescent="0.25">
      <c r="A28" s="35"/>
      <c r="B28" s="35"/>
      <c r="C28" s="35"/>
      <c r="D28" s="35"/>
      <c r="E28" s="35" t="s">
        <v>36</v>
      </c>
    </row>
    <row r="29" spans="1:5" x14ac:dyDescent="0.25">
      <c r="A29" s="35"/>
      <c r="B29" s="35"/>
      <c r="C29" s="35"/>
      <c r="D29" s="35"/>
      <c r="E29" s="35"/>
    </row>
    <row r="30" spans="1:5" x14ac:dyDescent="0.25">
      <c r="A30" s="35"/>
      <c r="B30" s="35"/>
      <c r="C30" s="35"/>
      <c r="D30" s="35"/>
      <c r="E30" s="35"/>
    </row>
    <row r="31" spans="1:5" x14ac:dyDescent="0.25">
      <c r="A31" s="164" t="s">
        <v>37</v>
      </c>
      <c r="B31" s="164"/>
      <c r="C31" s="35"/>
      <c r="D31" s="35"/>
      <c r="E31" s="35"/>
    </row>
    <row r="32" spans="1:5" x14ac:dyDescent="0.25">
      <c r="A32" s="35"/>
      <c r="B32" s="35"/>
      <c r="C32" s="35"/>
      <c r="D32" s="35"/>
      <c r="E32" s="35"/>
    </row>
    <row r="33" spans="1:5" x14ac:dyDescent="0.25">
      <c r="A33" s="35"/>
      <c r="B33" s="35"/>
      <c r="C33" s="35"/>
      <c r="D33" s="35"/>
      <c r="E33" s="35"/>
    </row>
    <row r="34" spans="1:5" x14ac:dyDescent="0.25">
      <c r="A34" s="35" t="s">
        <v>31</v>
      </c>
      <c r="B34" s="35"/>
      <c r="C34" s="35" t="s">
        <v>24</v>
      </c>
      <c r="D34" s="35"/>
      <c r="E34" s="35" t="s">
        <v>23</v>
      </c>
    </row>
    <row r="36" spans="1:5" x14ac:dyDescent="0.25">
      <c r="A36" s="11"/>
      <c r="B36" s="5"/>
      <c r="C36" s="10"/>
      <c r="D36" s="10"/>
      <c r="E36" s="10"/>
    </row>
    <row r="37" spans="1:5" x14ac:dyDescent="0.25">
      <c r="B37" s="5"/>
      <c r="C37" s="10"/>
      <c r="D37" s="10"/>
      <c r="E37" s="10"/>
    </row>
    <row r="48" spans="1:5" ht="12.75" customHeight="1" x14ac:dyDescent="0.25"/>
  </sheetData>
  <mergeCells count="8">
    <mergeCell ref="E23:E24"/>
    <mergeCell ref="A15:A16"/>
    <mergeCell ref="A31:B31"/>
    <mergeCell ref="A6:A7"/>
    <mergeCell ref="A11:A12"/>
    <mergeCell ref="A23:A24"/>
    <mergeCell ref="C23:C24"/>
    <mergeCell ref="D23:D2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42"/>
  <sheetViews>
    <sheetView view="pageBreakPreview" topLeftCell="A14" zoomScale="115" zoomScaleNormal="100" zoomScaleSheetLayoutView="115" workbookViewId="0">
      <selection activeCell="E42" sqref="E42"/>
    </sheetView>
  </sheetViews>
  <sheetFormatPr defaultRowHeight="15" x14ac:dyDescent="0.25"/>
  <cols>
    <col min="1" max="1" width="15" customWidth="1"/>
    <col min="2" max="2" width="16.140625" customWidth="1"/>
    <col min="3" max="3" width="13.7109375" customWidth="1"/>
    <col min="4" max="4" width="19" customWidth="1"/>
    <col min="5" max="5" width="17.28515625" customWidth="1"/>
  </cols>
  <sheetData>
    <row r="1" spans="1:6" ht="40.5" customHeight="1" x14ac:dyDescent="0.25"/>
    <row r="2" spans="1:6" ht="23.25" customHeight="1" x14ac:dyDescent="0.25">
      <c r="A2" s="20" t="s">
        <v>20</v>
      </c>
    </row>
    <row r="3" spans="1:6" x14ac:dyDescent="0.25">
      <c r="B3" s="5"/>
      <c r="C3" s="10"/>
      <c r="D3" s="10"/>
      <c r="E3" s="10"/>
    </row>
    <row r="4" spans="1:6" s="35" customFormat="1" x14ac:dyDescent="0.25">
      <c r="A4" s="36"/>
      <c r="E4" s="35" t="s">
        <v>28</v>
      </c>
      <c r="F4" s="37"/>
    </row>
    <row r="5" spans="1:6" s="35" customFormat="1" x14ac:dyDescent="0.25">
      <c r="A5" s="36"/>
      <c r="E5" s="35" t="s">
        <v>35</v>
      </c>
      <c r="F5" s="37"/>
    </row>
    <row r="6" spans="1:6" x14ac:dyDescent="0.25">
      <c r="A6" s="5"/>
      <c r="B6" s="5"/>
      <c r="C6" s="2" t="s">
        <v>3</v>
      </c>
      <c r="D6" s="2" t="s">
        <v>4</v>
      </c>
      <c r="E6" s="2" t="s">
        <v>5</v>
      </c>
    </row>
    <row r="7" spans="1:6" x14ac:dyDescent="0.25">
      <c r="A7" s="173" t="s">
        <v>0</v>
      </c>
      <c r="B7" s="2" t="s">
        <v>1</v>
      </c>
      <c r="C7" s="3">
        <v>7.4999999999999997E-3</v>
      </c>
      <c r="D7" s="3">
        <v>1.2500000000000001E-2</v>
      </c>
      <c r="E7" s="3">
        <v>1.7500000000000002E-2</v>
      </c>
    </row>
    <row r="8" spans="1:6" x14ac:dyDescent="0.25">
      <c r="A8" s="173"/>
      <c r="B8" s="2" t="s">
        <v>2</v>
      </c>
      <c r="C8" s="4">
        <v>0.01</v>
      </c>
      <c r="D8" s="3">
        <v>1.2500000000000001E-2</v>
      </c>
      <c r="E8" s="3">
        <v>0</v>
      </c>
    </row>
    <row r="9" spans="1:6" x14ac:dyDescent="0.25">
      <c r="A9" s="5"/>
      <c r="B9" s="5"/>
      <c r="C9" s="5"/>
      <c r="D9" s="5"/>
      <c r="E9" s="5"/>
    </row>
    <row r="10" spans="1:6" ht="0.75" customHeight="1" x14ac:dyDescent="0.25">
      <c r="A10" s="5"/>
      <c r="B10" s="5"/>
      <c r="C10" s="5"/>
      <c r="D10" s="5"/>
      <c r="E10" s="5"/>
    </row>
    <row r="11" spans="1:6" x14ac:dyDescent="0.25">
      <c r="A11" s="5"/>
      <c r="B11" s="5"/>
      <c r="C11" s="9" t="s">
        <v>3</v>
      </c>
      <c r="D11" s="9" t="s">
        <v>4</v>
      </c>
      <c r="E11" s="9" t="s">
        <v>5</v>
      </c>
    </row>
    <row r="12" spans="1:6" x14ac:dyDescent="0.25">
      <c r="A12" s="172" t="s">
        <v>6</v>
      </c>
      <c r="B12" s="2" t="s">
        <v>1</v>
      </c>
      <c r="C12" s="14">
        <v>1.2500000000000001E-2</v>
      </c>
      <c r="D12" s="3">
        <v>1.7500000000000002E-2</v>
      </c>
      <c r="E12" s="3">
        <v>2.2499999999999999E-2</v>
      </c>
    </row>
    <row r="13" spans="1:6" x14ac:dyDescent="0.25">
      <c r="A13" s="172"/>
      <c r="B13" s="2" t="s">
        <v>2</v>
      </c>
      <c r="C13" s="15">
        <v>1.4999999999999999E-2</v>
      </c>
      <c r="D13" s="3">
        <v>0.02</v>
      </c>
      <c r="E13" s="3">
        <v>0</v>
      </c>
    </row>
    <row r="14" spans="1:6" x14ac:dyDescent="0.25">
      <c r="A14" s="5"/>
      <c r="B14" s="5"/>
      <c r="C14" s="5"/>
      <c r="D14" s="5"/>
      <c r="E14" s="5"/>
    </row>
    <row r="15" spans="1:6" x14ac:dyDescent="0.25">
      <c r="A15" s="5"/>
      <c r="B15" s="5"/>
      <c r="C15" s="9" t="s">
        <v>3</v>
      </c>
      <c r="D15" s="9" t="s">
        <v>4</v>
      </c>
      <c r="E15" s="9" t="s">
        <v>5</v>
      </c>
    </row>
    <row r="16" spans="1:6" x14ac:dyDescent="0.25">
      <c r="A16" s="172" t="s">
        <v>26</v>
      </c>
      <c r="B16" s="2" t="s">
        <v>6</v>
      </c>
      <c r="C16" s="3">
        <v>1.4999999999999999E-2</v>
      </c>
      <c r="D16" s="3">
        <v>1.4999999999999999E-2</v>
      </c>
      <c r="E16" s="3">
        <v>1.4999999999999999E-2</v>
      </c>
    </row>
    <row r="17" spans="1:9" x14ac:dyDescent="0.25">
      <c r="A17" s="172"/>
      <c r="B17" s="2" t="s">
        <v>0</v>
      </c>
      <c r="C17" s="3">
        <v>0.01</v>
      </c>
      <c r="D17" s="3">
        <v>0.01</v>
      </c>
      <c r="E17" s="3">
        <v>0.01</v>
      </c>
    </row>
    <row r="18" spans="1:9" x14ac:dyDescent="0.25">
      <c r="A18" s="5"/>
      <c r="B18" s="5"/>
      <c r="C18" s="5"/>
      <c r="D18" s="5"/>
      <c r="E18" s="5"/>
    </row>
    <row r="19" spans="1:9" ht="0.75" customHeight="1" x14ac:dyDescent="0.25">
      <c r="A19" s="5"/>
      <c r="B19" s="5"/>
      <c r="C19" s="5"/>
      <c r="D19" s="5"/>
      <c r="E19" s="5"/>
    </row>
    <row r="20" spans="1:9" x14ac:dyDescent="0.25">
      <c r="A20" s="5"/>
      <c r="B20" s="5"/>
      <c r="C20" s="9" t="s">
        <v>3</v>
      </c>
      <c r="D20" s="9" t="s">
        <v>4</v>
      </c>
      <c r="E20" s="9" t="s">
        <v>5</v>
      </c>
    </row>
    <row r="21" spans="1:9" x14ac:dyDescent="0.25">
      <c r="A21" s="177" t="s">
        <v>7</v>
      </c>
      <c r="B21" s="2" t="s">
        <v>1</v>
      </c>
      <c r="C21" s="14">
        <v>5.0000000000000001E-3</v>
      </c>
      <c r="D21" s="3">
        <v>7.4999999999999997E-3</v>
      </c>
      <c r="E21" s="3">
        <v>0.01</v>
      </c>
    </row>
    <row r="22" spans="1:9" x14ac:dyDescent="0.25">
      <c r="A22" s="177"/>
      <c r="B22" s="2" t="s">
        <v>2</v>
      </c>
      <c r="C22" s="15">
        <v>5.0000000000000001E-3</v>
      </c>
      <c r="D22" s="3">
        <v>7.4999999999999997E-3</v>
      </c>
      <c r="E22" s="3"/>
    </row>
    <row r="23" spans="1:9" x14ac:dyDescent="0.25">
      <c r="H23" s="1"/>
    </row>
    <row r="24" spans="1:9" ht="0.75" customHeight="1" x14ac:dyDescent="0.25">
      <c r="B24" s="5"/>
      <c r="C24" s="9" t="s">
        <v>3</v>
      </c>
      <c r="D24" s="9" t="s">
        <v>4</v>
      </c>
      <c r="E24" s="9" t="s">
        <v>5</v>
      </c>
    </row>
    <row r="25" spans="1:9" x14ac:dyDescent="0.25">
      <c r="A25" s="178" t="s">
        <v>15</v>
      </c>
      <c r="B25" s="2" t="s">
        <v>1</v>
      </c>
      <c r="C25" s="21">
        <v>2.5000000000000001E-3</v>
      </c>
      <c r="D25" s="3">
        <v>5.0000000000000001E-3</v>
      </c>
      <c r="E25" s="3">
        <v>5.0000000000000001E-3</v>
      </c>
    </row>
    <row r="26" spans="1:9" x14ac:dyDescent="0.25">
      <c r="A26" s="178"/>
      <c r="B26" s="2" t="s">
        <v>2</v>
      </c>
      <c r="C26" s="21">
        <v>2.5000000000000001E-3</v>
      </c>
      <c r="D26" s="21">
        <v>2.5000000000000001E-3</v>
      </c>
      <c r="E26" s="3"/>
      <c r="G26" s="1"/>
    </row>
    <row r="27" spans="1:9" ht="20.25" customHeight="1" x14ac:dyDescent="0.25">
      <c r="I27" s="1"/>
    </row>
    <row r="28" spans="1:9" ht="15.75" hidden="1" x14ac:dyDescent="0.25">
      <c r="B28" s="2" t="s">
        <v>1</v>
      </c>
      <c r="C28" s="14">
        <f>C12+C21+C25</f>
        <v>0.02</v>
      </c>
      <c r="D28" s="16">
        <f>D12+D21+D25</f>
        <v>3.0000000000000002E-2</v>
      </c>
      <c r="E28" s="3">
        <f>E12+E21+E25</f>
        <v>3.7499999999999999E-2</v>
      </c>
    </row>
    <row r="29" spans="1:9" hidden="1" x14ac:dyDescent="0.25">
      <c r="B29" s="5"/>
      <c r="C29" s="13">
        <v>0.08</v>
      </c>
      <c r="D29" s="13">
        <v>0.12</v>
      </c>
      <c r="E29" s="13">
        <v>0.15</v>
      </c>
    </row>
    <row r="30" spans="1:9" hidden="1" x14ac:dyDescent="0.25">
      <c r="B30" s="5"/>
      <c r="C30" s="5">
        <f>C28/C29*100</f>
        <v>25</v>
      </c>
      <c r="D30" s="5">
        <f>D28/D29*100</f>
        <v>25.000000000000007</v>
      </c>
      <c r="E30" s="22">
        <f>E28/E29*100</f>
        <v>25</v>
      </c>
    </row>
    <row r="31" spans="1:9" ht="14.25" hidden="1" customHeight="1" x14ac:dyDescent="0.25">
      <c r="B31" s="5"/>
    </row>
    <row r="32" spans="1:9" ht="1.5" hidden="1" customHeight="1" x14ac:dyDescent="0.25"/>
    <row r="33" spans="1:10" hidden="1" x14ac:dyDescent="0.25">
      <c r="B33" s="5" t="s">
        <v>16</v>
      </c>
      <c r="C33" s="3">
        <f>C13+C22+C26</f>
        <v>2.2499999999999999E-2</v>
      </c>
      <c r="D33" s="3">
        <f>D13+D22+D26</f>
        <v>0.03</v>
      </c>
      <c r="E33" s="3">
        <f>E13+E22+E26</f>
        <v>0</v>
      </c>
    </row>
    <row r="34" spans="1:10" hidden="1" x14ac:dyDescent="0.25">
      <c r="C34" s="4">
        <v>0.12</v>
      </c>
      <c r="D34" s="4">
        <v>0.12</v>
      </c>
      <c r="E34" s="4">
        <v>0.12</v>
      </c>
    </row>
    <row r="35" spans="1:10" hidden="1" x14ac:dyDescent="0.25">
      <c r="B35" s="5"/>
      <c r="C35" s="5">
        <f>C33/C34*100</f>
        <v>18.75</v>
      </c>
      <c r="D35" s="5">
        <f>D33/D34*100</f>
        <v>25</v>
      </c>
      <c r="E35" s="5">
        <f>E33/E34*100</f>
        <v>0</v>
      </c>
    </row>
    <row r="36" spans="1:10" ht="18.75" x14ac:dyDescent="0.3">
      <c r="A36" s="35"/>
      <c r="B36" s="35"/>
      <c r="C36" s="35"/>
      <c r="D36" s="35"/>
      <c r="E36" s="35" t="s">
        <v>36</v>
      </c>
      <c r="F36" s="33"/>
      <c r="G36" s="24"/>
      <c r="H36" s="24"/>
      <c r="I36" s="24"/>
      <c r="J36" s="24"/>
    </row>
    <row r="37" spans="1:10" x14ac:dyDescent="0.25">
      <c r="A37" s="35"/>
      <c r="B37" s="35"/>
      <c r="C37" s="35"/>
      <c r="D37" s="35"/>
      <c r="E37" s="35"/>
    </row>
    <row r="38" spans="1:10" x14ac:dyDescent="0.25">
      <c r="A38" s="35"/>
      <c r="B38" s="35"/>
      <c r="C38" s="35"/>
      <c r="D38" s="35"/>
      <c r="E38" s="35"/>
    </row>
    <row r="39" spans="1:10" x14ac:dyDescent="0.25">
      <c r="A39" s="35"/>
      <c r="B39" s="164" t="s">
        <v>37</v>
      </c>
      <c r="C39" s="164"/>
      <c r="D39" s="35"/>
      <c r="E39" s="35"/>
    </row>
    <row r="40" spans="1:10" x14ac:dyDescent="0.25">
      <c r="A40" s="35"/>
      <c r="B40" s="35"/>
      <c r="C40" s="35"/>
      <c r="D40" s="35"/>
      <c r="E40" s="35"/>
    </row>
    <row r="41" spans="1:10" x14ac:dyDescent="0.25">
      <c r="A41" s="35"/>
      <c r="B41" s="35"/>
      <c r="C41" s="35"/>
      <c r="D41" s="35"/>
      <c r="E41" s="35"/>
    </row>
    <row r="42" spans="1:10" x14ac:dyDescent="0.25">
      <c r="A42" s="35" t="s">
        <v>31</v>
      </c>
      <c r="B42" s="35"/>
      <c r="C42" s="35" t="s">
        <v>24</v>
      </c>
      <c r="D42" s="35"/>
      <c r="E42" s="35" t="s">
        <v>23</v>
      </c>
    </row>
  </sheetData>
  <mergeCells count="6">
    <mergeCell ref="A16:A17"/>
    <mergeCell ref="B39:C39"/>
    <mergeCell ref="A21:A22"/>
    <mergeCell ref="A25:A26"/>
    <mergeCell ref="A7:A8"/>
    <mergeCell ref="A12:A13"/>
  </mergeCells>
  <pageMargins left="0.53" right="0.24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3:N54"/>
  <sheetViews>
    <sheetView view="pageBreakPreview" topLeftCell="A29" zoomScale="102" zoomScaleNormal="100" workbookViewId="0">
      <selection activeCell="I43" sqref="I43"/>
    </sheetView>
  </sheetViews>
  <sheetFormatPr defaultRowHeight="15" x14ac:dyDescent="0.25"/>
  <cols>
    <col min="1" max="1" width="31" customWidth="1"/>
    <col min="2" max="2" width="12.42578125" customWidth="1"/>
    <col min="3" max="3" width="17.28515625" customWidth="1"/>
    <col min="4" max="4" width="22" customWidth="1"/>
    <col min="5" max="5" width="6.85546875" customWidth="1"/>
  </cols>
  <sheetData>
    <row r="3" spans="1:6" x14ac:dyDescent="0.25">
      <c r="F3" s="35" t="s">
        <v>74</v>
      </c>
    </row>
    <row r="4" spans="1:6" x14ac:dyDescent="0.25">
      <c r="A4" s="20" t="s">
        <v>20</v>
      </c>
      <c r="F4" s="35" t="s">
        <v>35</v>
      </c>
    </row>
    <row r="5" spans="1:6" x14ac:dyDescent="0.25">
      <c r="B5" s="5"/>
      <c r="C5" s="10"/>
      <c r="D5" s="10"/>
    </row>
    <row r="6" spans="1:6" s="39" customFormat="1" x14ac:dyDescent="0.25">
      <c r="A6" s="180" t="s">
        <v>54</v>
      </c>
    </row>
    <row r="7" spans="1:6" s="39" customFormat="1" x14ac:dyDescent="0.25">
      <c r="A7" s="180"/>
    </row>
    <row r="8" spans="1:6" s="39" customFormat="1" x14ac:dyDescent="0.25">
      <c r="A8" s="12"/>
      <c r="B8" s="12"/>
      <c r="C8" s="72" t="s">
        <v>3</v>
      </c>
      <c r="D8" s="72" t="s">
        <v>4</v>
      </c>
    </row>
    <row r="9" spans="1:6" s="39" customFormat="1" x14ac:dyDescent="0.25">
      <c r="A9" s="179" t="s">
        <v>0</v>
      </c>
      <c r="B9" s="49" t="s">
        <v>63</v>
      </c>
      <c r="C9" s="21">
        <v>0.01</v>
      </c>
      <c r="D9" s="21">
        <v>1.7500000000000002E-2</v>
      </c>
    </row>
    <row r="10" spans="1:6" s="39" customFormat="1" x14ac:dyDescent="0.25">
      <c r="A10" s="179"/>
      <c r="B10" s="65" t="s">
        <v>106</v>
      </c>
      <c r="C10" s="21">
        <v>7.4999999999999997E-3</v>
      </c>
      <c r="D10" s="21">
        <v>1.2500000000000001E-2</v>
      </c>
    </row>
    <row r="11" spans="1:6" s="39" customFormat="1" x14ac:dyDescent="0.25">
      <c r="A11" s="12"/>
      <c r="B11" s="66"/>
      <c r="C11" s="12"/>
      <c r="D11" s="12"/>
    </row>
    <row r="12" spans="1:6" s="39" customFormat="1" hidden="1" x14ac:dyDescent="0.25">
      <c r="A12" s="12"/>
      <c r="B12" s="12"/>
      <c r="C12" s="12"/>
      <c r="D12" s="12"/>
      <c r="F12" s="69"/>
    </row>
    <row r="13" spans="1:6" s="39" customFormat="1" x14ac:dyDescent="0.25">
      <c r="A13" s="12"/>
      <c r="B13" s="12"/>
      <c r="C13" s="72" t="s">
        <v>3</v>
      </c>
      <c r="D13" s="72" t="s">
        <v>4</v>
      </c>
    </row>
    <row r="14" spans="1:6" s="39" customFormat="1" x14ac:dyDescent="0.25">
      <c r="A14" s="179" t="s">
        <v>6</v>
      </c>
      <c r="B14" s="49" t="s">
        <v>63</v>
      </c>
      <c r="C14" s="21">
        <v>1.4999999999999999E-2</v>
      </c>
      <c r="D14" s="21">
        <v>2.75E-2</v>
      </c>
    </row>
    <row r="15" spans="1:6" s="39" customFormat="1" x14ac:dyDescent="0.25">
      <c r="A15" s="179"/>
      <c r="B15" s="65" t="s">
        <v>106</v>
      </c>
      <c r="C15" s="21">
        <v>1.2500000000000001E-2</v>
      </c>
      <c r="D15" s="21">
        <v>0.02</v>
      </c>
    </row>
    <row r="16" spans="1:6" s="39" customFormat="1" x14ac:dyDescent="0.25">
      <c r="A16" s="12"/>
      <c r="B16" s="12"/>
      <c r="C16" s="12"/>
      <c r="D16" s="12"/>
    </row>
    <row r="17" spans="1:7" s="39" customFormat="1" x14ac:dyDescent="0.25">
      <c r="A17" s="12"/>
      <c r="B17" s="12"/>
      <c r="C17" s="72" t="s">
        <v>3</v>
      </c>
      <c r="D17" s="72" t="s">
        <v>4</v>
      </c>
    </row>
    <row r="18" spans="1:7" s="39" customFormat="1" x14ac:dyDescent="0.25">
      <c r="A18" s="179" t="s">
        <v>26</v>
      </c>
      <c r="B18" s="49" t="s">
        <v>6</v>
      </c>
      <c r="C18" s="21">
        <v>0.02</v>
      </c>
      <c r="D18" s="21">
        <v>0.02</v>
      </c>
    </row>
    <row r="19" spans="1:7" s="39" customFormat="1" x14ac:dyDescent="0.25">
      <c r="A19" s="179"/>
      <c r="B19" s="49" t="s">
        <v>0</v>
      </c>
      <c r="C19" s="21">
        <v>1.4999999999999999E-2</v>
      </c>
      <c r="D19" s="21">
        <v>1.4999999999999999E-2</v>
      </c>
    </row>
    <row r="20" spans="1:7" s="39" customFormat="1" x14ac:dyDescent="0.25">
      <c r="A20" s="12"/>
      <c r="B20" s="12"/>
      <c r="C20" s="12"/>
      <c r="D20" s="12"/>
    </row>
    <row r="21" spans="1:7" s="39" customFormat="1" ht="0.75" customHeight="1" x14ac:dyDescent="0.25">
      <c r="A21" s="12"/>
      <c r="B21" s="12"/>
      <c r="C21" s="12"/>
      <c r="D21" s="12"/>
    </row>
    <row r="22" spans="1:7" s="39" customFormat="1" x14ac:dyDescent="0.25">
      <c r="A22" s="12"/>
      <c r="B22" s="12"/>
      <c r="C22" s="72" t="s">
        <v>3</v>
      </c>
      <c r="D22" s="72" t="s">
        <v>4</v>
      </c>
    </row>
    <row r="23" spans="1:7" s="39" customFormat="1" x14ac:dyDescent="0.25">
      <c r="A23" s="179" t="s">
        <v>7</v>
      </c>
      <c r="B23" s="49" t="s">
        <v>63</v>
      </c>
      <c r="C23" s="21">
        <v>5.0000000000000001E-3</v>
      </c>
      <c r="D23" s="21">
        <v>7.4999999999999997E-3</v>
      </c>
    </row>
    <row r="24" spans="1:7" s="39" customFormat="1" x14ac:dyDescent="0.25">
      <c r="A24" s="179"/>
      <c r="B24" s="65" t="s">
        <v>106</v>
      </c>
      <c r="C24" s="21">
        <v>2.5000000000000001E-3</v>
      </c>
      <c r="D24" s="21">
        <v>5.0000000000000001E-3</v>
      </c>
    </row>
    <row r="25" spans="1:7" s="39" customFormat="1" x14ac:dyDescent="0.25"/>
    <row r="26" spans="1:7" s="39" customFormat="1" x14ac:dyDescent="0.25">
      <c r="B26" s="12"/>
      <c r="C26" s="72" t="s">
        <v>3</v>
      </c>
      <c r="D26" s="72" t="s">
        <v>4</v>
      </c>
    </row>
    <row r="27" spans="1:7" s="39" customFormat="1" x14ac:dyDescent="0.25">
      <c r="A27" s="179" t="s">
        <v>15</v>
      </c>
      <c r="B27" s="49" t="s">
        <v>63</v>
      </c>
      <c r="C27" s="21">
        <v>2.5000000000000001E-3</v>
      </c>
      <c r="D27" s="21">
        <v>5.0000000000000001E-3</v>
      </c>
    </row>
    <row r="28" spans="1:7" s="39" customFormat="1" x14ac:dyDescent="0.25">
      <c r="A28" s="179"/>
      <c r="B28" s="65" t="s">
        <v>106</v>
      </c>
      <c r="C28" s="68">
        <v>1.25E-3</v>
      </c>
      <c r="D28" s="21">
        <v>2.5000000000000001E-3</v>
      </c>
      <c r="E28" s="70"/>
      <c r="G28" s="71"/>
    </row>
    <row r="29" spans="1:7" s="39" customFormat="1" x14ac:dyDescent="0.25"/>
    <row r="30" spans="1:7" s="39" customFormat="1" x14ac:dyDescent="0.25">
      <c r="A30" s="180" t="s">
        <v>2</v>
      </c>
    </row>
    <row r="31" spans="1:7" s="39" customFormat="1" x14ac:dyDescent="0.25">
      <c r="A31" s="180"/>
    </row>
    <row r="32" spans="1:7" s="39" customFormat="1" x14ac:dyDescent="0.25">
      <c r="B32" s="23" t="s">
        <v>50</v>
      </c>
      <c r="C32" s="23" t="s">
        <v>51</v>
      </c>
      <c r="D32" s="23" t="s">
        <v>55</v>
      </c>
      <c r="E32" s="23" t="s">
        <v>52</v>
      </c>
    </row>
    <row r="33" spans="1:14" s="39" customFormat="1" x14ac:dyDescent="0.25">
      <c r="A33" s="179" t="s">
        <v>6</v>
      </c>
      <c r="B33" s="185">
        <v>1.4999999999999999E-2</v>
      </c>
      <c r="C33" s="184">
        <v>2.5000000000000001E-2</v>
      </c>
      <c r="D33" s="184">
        <v>3.5000000000000003E-2</v>
      </c>
      <c r="E33" s="181">
        <v>0.05</v>
      </c>
      <c r="H33" s="183"/>
    </row>
    <row r="34" spans="1:14" s="39" customFormat="1" x14ac:dyDescent="0.25">
      <c r="A34" s="179"/>
      <c r="B34" s="185"/>
      <c r="C34" s="186"/>
      <c r="D34" s="186"/>
      <c r="E34" s="187"/>
      <c r="H34" s="183"/>
    </row>
    <row r="35" spans="1:14" s="39" customFormat="1" x14ac:dyDescent="0.25"/>
    <row r="36" spans="1:14" s="39" customFormat="1" hidden="1" x14ac:dyDescent="0.25"/>
    <row r="37" spans="1:14" s="39" customFormat="1" x14ac:dyDescent="0.25">
      <c r="A37" s="179" t="s">
        <v>0</v>
      </c>
      <c r="B37" s="181">
        <v>0.01</v>
      </c>
      <c r="C37" s="184">
        <v>1.7500000000000002E-2</v>
      </c>
      <c r="D37" s="184">
        <v>2.2499999999999999E-2</v>
      </c>
      <c r="E37" s="181">
        <v>0.03</v>
      </c>
    </row>
    <row r="38" spans="1:14" s="39" customFormat="1" x14ac:dyDescent="0.25">
      <c r="A38" s="179"/>
      <c r="B38" s="182"/>
      <c r="C38" s="182"/>
      <c r="D38" s="182"/>
      <c r="E38" s="182"/>
      <c r="M38" s="188"/>
      <c r="N38" s="188"/>
    </row>
    <row r="39" spans="1:14" s="39" customFormat="1" ht="3" customHeight="1" x14ac:dyDescent="0.25"/>
    <row r="40" spans="1:14" s="39" customFormat="1" x14ac:dyDescent="0.25"/>
    <row r="41" spans="1:14" s="39" customFormat="1" x14ac:dyDescent="0.25">
      <c r="A41" s="179" t="s">
        <v>7</v>
      </c>
      <c r="B41" s="184">
        <v>5.0000000000000001E-3</v>
      </c>
      <c r="C41" s="184">
        <v>7.4999999999999997E-3</v>
      </c>
      <c r="D41" s="181">
        <v>0.01</v>
      </c>
      <c r="E41" s="184">
        <v>1.4999999999999999E-2</v>
      </c>
    </row>
    <row r="42" spans="1:14" s="39" customFormat="1" x14ac:dyDescent="0.25">
      <c r="A42" s="179"/>
      <c r="B42" s="182"/>
      <c r="C42" s="182"/>
      <c r="D42" s="182"/>
      <c r="E42" s="182"/>
    </row>
    <row r="43" spans="1:14" s="39" customFormat="1" x14ac:dyDescent="0.25"/>
    <row r="44" spans="1:14" s="39" customFormat="1" x14ac:dyDescent="0.25">
      <c r="A44" s="179" t="s">
        <v>15</v>
      </c>
      <c r="B44" s="184">
        <v>2.5000000000000001E-3</v>
      </c>
      <c r="C44" s="189">
        <v>5.0000000000000001E-3</v>
      </c>
      <c r="D44" s="190"/>
      <c r="E44" s="191"/>
    </row>
    <row r="45" spans="1:14" s="39" customFormat="1" x14ac:dyDescent="0.25">
      <c r="A45" s="179"/>
      <c r="B45" s="182"/>
      <c r="C45" s="192"/>
      <c r="D45" s="193"/>
      <c r="E45" s="194"/>
    </row>
    <row r="47" spans="1:14" s="39" customFormat="1" x14ac:dyDescent="0.25">
      <c r="A47" s="179" t="s">
        <v>26</v>
      </c>
      <c r="B47" s="49" t="s">
        <v>6</v>
      </c>
      <c r="C47" s="21">
        <v>0.02</v>
      </c>
      <c r="D47"/>
      <c r="E47"/>
      <c r="F47"/>
    </row>
    <row r="48" spans="1:14" s="39" customFormat="1" x14ac:dyDescent="0.25">
      <c r="A48" s="179"/>
      <c r="B48" s="49" t="s">
        <v>0</v>
      </c>
      <c r="C48" s="21">
        <v>1.4999999999999999E-2</v>
      </c>
      <c r="D48"/>
      <c r="E48"/>
      <c r="F48"/>
    </row>
    <row r="49" spans="1:6" x14ac:dyDescent="0.25">
      <c r="F49" s="57" t="s">
        <v>36</v>
      </c>
    </row>
    <row r="52" spans="1:6" x14ac:dyDescent="0.25">
      <c r="B52" s="35" t="s">
        <v>37</v>
      </c>
      <c r="C52" s="35"/>
      <c r="D52" s="35"/>
    </row>
    <row r="54" spans="1:6" x14ac:dyDescent="0.25">
      <c r="A54" s="5" t="s">
        <v>31</v>
      </c>
      <c r="B54" s="35"/>
      <c r="C54" s="5" t="s">
        <v>24</v>
      </c>
      <c r="D54" s="5"/>
      <c r="E54" s="5" t="s">
        <v>23</v>
      </c>
    </row>
  </sheetData>
  <mergeCells count="28">
    <mergeCell ref="M38:N38"/>
    <mergeCell ref="A47:A48"/>
    <mergeCell ref="A41:A42"/>
    <mergeCell ref="A44:A45"/>
    <mergeCell ref="C44:E45"/>
    <mergeCell ref="B44:B45"/>
    <mergeCell ref="H33:H34"/>
    <mergeCell ref="B41:B42"/>
    <mergeCell ref="C41:C42"/>
    <mergeCell ref="D41:D42"/>
    <mergeCell ref="E41:E42"/>
    <mergeCell ref="B33:B34"/>
    <mergeCell ref="C33:C34"/>
    <mergeCell ref="D33:D34"/>
    <mergeCell ref="E33:E34"/>
    <mergeCell ref="C37:C38"/>
    <mergeCell ref="D37:D38"/>
    <mergeCell ref="E37:E38"/>
    <mergeCell ref="A27:A28"/>
    <mergeCell ref="A30:A31"/>
    <mergeCell ref="A33:A34"/>
    <mergeCell ref="A37:A38"/>
    <mergeCell ref="B37:B38"/>
    <mergeCell ref="A9:A10"/>
    <mergeCell ref="A14:A15"/>
    <mergeCell ref="A18:A19"/>
    <mergeCell ref="A23:A24"/>
    <mergeCell ref="A6:A7"/>
  </mergeCells>
  <pageMargins left="0.7" right="0.7" top="0.75" bottom="0.75" header="0.3" footer="0.3"/>
  <pageSetup paperSize="9" scale="88" orientation="portrait" r:id="rId1"/>
  <colBreaks count="1" manualBreakCount="1">
    <brk id="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30"/>
  <sheetViews>
    <sheetView view="pageBreakPreview" zoomScaleNormal="100" zoomScaleSheetLayoutView="100" workbookViewId="0">
      <selection activeCell="E6" sqref="D6:E7"/>
    </sheetView>
  </sheetViews>
  <sheetFormatPr defaultRowHeight="15" x14ac:dyDescent="0.25"/>
  <cols>
    <col min="2" max="2" width="11.28515625" bestFit="1" customWidth="1"/>
    <col min="3" max="3" width="23.85546875" customWidth="1"/>
    <col min="4" max="4" width="19.28515625" customWidth="1"/>
    <col min="5" max="5" width="22.140625" customWidth="1"/>
    <col min="6" max="7" width="13" customWidth="1"/>
  </cols>
  <sheetData>
    <row r="1" spans="1:10" ht="18.75" x14ac:dyDescent="0.3">
      <c r="B1" s="24"/>
      <c r="C1" s="24"/>
      <c r="D1" s="24"/>
      <c r="E1" s="24"/>
      <c r="F1" s="24"/>
      <c r="G1" s="24"/>
      <c r="H1" s="24"/>
      <c r="I1" s="24"/>
      <c r="J1" s="24"/>
    </row>
    <row r="2" spans="1:10" ht="18.75" x14ac:dyDescent="0.3">
      <c r="B2" s="24"/>
      <c r="C2" s="24"/>
      <c r="D2" s="24"/>
      <c r="E2" s="24"/>
      <c r="F2" s="24"/>
      <c r="G2" s="24"/>
      <c r="H2" s="24"/>
      <c r="I2" s="24"/>
      <c r="J2" s="24"/>
    </row>
    <row r="3" spans="1:10" ht="18.75" x14ac:dyDescent="0.3">
      <c r="B3" s="24"/>
      <c r="C3" s="24"/>
      <c r="D3" s="24"/>
      <c r="E3" s="24"/>
      <c r="F3" s="24"/>
      <c r="G3" s="24"/>
      <c r="H3" s="24"/>
      <c r="I3" s="24"/>
      <c r="J3" s="24"/>
    </row>
    <row r="4" spans="1:10" ht="18.75" x14ac:dyDescent="0.3">
      <c r="B4" s="24"/>
      <c r="C4" s="25" t="s">
        <v>22</v>
      </c>
      <c r="D4" s="24"/>
      <c r="E4" s="24"/>
      <c r="F4" s="24"/>
      <c r="G4" s="24"/>
      <c r="H4" s="24"/>
      <c r="I4" s="24"/>
      <c r="J4" s="24"/>
    </row>
    <row r="5" spans="1:10" ht="18.75" x14ac:dyDescent="0.3">
      <c r="B5" s="24"/>
      <c r="C5" s="24"/>
      <c r="D5" s="24"/>
      <c r="E5" s="24"/>
      <c r="F5" s="24"/>
      <c r="G5" s="24"/>
      <c r="H5" s="24"/>
      <c r="I5" s="24"/>
      <c r="J5" s="24"/>
    </row>
    <row r="6" spans="1:10" s="35" customFormat="1" ht="18.75" x14ac:dyDescent="0.3">
      <c r="A6" s="36"/>
      <c r="E6" s="35" t="s">
        <v>28</v>
      </c>
      <c r="F6" s="37"/>
      <c r="G6" s="24"/>
    </row>
    <row r="7" spans="1:10" s="35" customFormat="1" ht="18.75" x14ac:dyDescent="0.3">
      <c r="A7" s="36"/>
      <c r="E7" s="35" t="s">
        <v>34</v>
      </c>
      <c r="F7" s="37"/>
      <c r="G7" s="24"/>
    </row>
    <row r="8" spans="1:10" ht="18.75" x14ac:dyDescent="0.3">
      <c r="B8" s="24"/>
      <c r="C8" s="24"/>
      <c r="D8" s="24"/>
      <c r="E8" s="24"/>
      <c r="F8" s="24"/>
      <c r="G8" s="24"/>
      <c r="H8" s="24"/>
      <c r="I8" s="24"/>
      <c r="J8" s="24"/>
    </row>
    <row r="9" spans="1:10" ht="18.75" x14ac:dyDescent="0.3">
      <c r="A9" s="172" t="s">
        <v>6</v>
      </c>
      <c r="B9" s="172"/>
      <c r="C9" s="26" t="s">
        <v>1</v>
      </c>
      <c r="D9" s="26" t="s">
        <v>2</v>
      </c>
      <c r="G9" s="24"/>
      <c r="H9" s="24"/>
      <c r="I9" s="24"/>
      <c r="J9" s="24"/>
    </row>
    <row r="10" spans="1:10" ht="18.75" x14ac:dyDescent="0.3">
      <c r="A10" s="172"/>
      <c r="B10" s="172"/>
      <c r="C10" s="28">
        <v>0.01</v>
      </c>
      <c r="D10" s="29">
        <v>1.2500000000000001E-2</v>
      </c>
      <c r="G10" s="24"/>
      <c r="H10" s="24"/>
      <c r="I10" s="24"/>
      <c r="J10" s="24"/>
    </row>
    <row r="11" spans="1:10" ht="18.75" x14ac:dyDescent="0.3">
      <c r="A11" s="5"/>
      <c r="B11" s="24"/>
      <c r="C11" s="24"/>
      <c r="D11" s="24"/>
      <c r="G11" s="24"/>
      <c r="H11" s="24"/>
      <c r="I11" s="24"/>
      <c r="J11" s="24"/>
    </row>
    <row r="12" spans="1:10" ht="18.75" x14ac:dyDescent="0.3">
      <c r="A12" s="173" t="s">
        <v>0</v>
      </c>
      <c r="B12" s="173"/>
      <c r="C12" s="27" t="s">
        <v>1</v>
      </c>
      <c r="D12" s="26" t="s">
        <v>2</v>
      </c>
      <c r="G12" s="24"/>
      <c r="H12" s="31"/>
      <c r="I12" s="24"/>
      <c r="J12" s="24"/>
    </row>
    <row r="13" spans="1:10" ht="18.75" x14ac:dyDescent="0.3">
      <c r="A13" s="173"/>
      <c r="B13" s="173"/>
      <c r="C13" s="29">
        <v>5.0000000000000001E-3</v>
      </c>
      <c r="D13" s="29">
        <v>7.4999999999999997E-3</v>
      </c>
      <c r="G13" s="24"/>
      <c r="H13" s="24"/>
      <c r="I13" s="24"/>
      <c r="J13" s="24"/>
    </row>
    <row r="14" spans="1:10" ht="18.75" x14ac:dyDescent="0.3">
      <c r="B14" s="30"/>
      <c r="C14" s="30"/>
      <c r="D14" s="30"/>
      <c r="E14" s="30"/>
      <c r="F14" s="30"/>
      <c r="G14" s="24"/>
      <c r="H14" s="24"/>
      <c r="I14" s="24"/>
      <c r="J14" s="24"/>
    </row>
    <row r="15" spans="1:10" ht="18.75" x14ac:dyDescent="0.3">
      <c r="B15" s="5"/>
      <c r="C15" s="26" t="s">
        <v>1</v>
      </c>
      <c r="D15" s="26" t="s">
        <v>2</v>
      </c>
      <c r="E15" s="30"/>
    </row>
    <row r="16" spans="1:10" ht="18.75" x14ac:dyDescent="0.3">
      <c r="A16" s="172" t="s">
        <v>26</v>
      </c>
      <c r="B16" s="49" t="s">
        <v>6</v>
      </c>
      <c r="C16" s="3">
        <v>1.4999999999999999E-2</v>
      </c>
      <c r="D16" s="3">
        <v>1.4999999999999999E-2</v>
      </c>
      <c r="E16" s="30"/>
    </row>
    <row r="17" spans="1:10" ht="18.75" x14ac:dyDescent="0.3">
      <c r="A17" s="172"/>
      <c r="B17" s="49" t="s">
        <v>0</v>
      </c>
      <c r="C17" s="3">
        <v>0.01</v>
      </c>
      <c r="D17" s="3">
        <v>0.01</v>
      </c>
      <c r="E17" s="30"/>
    </row>
    <row r="18" spans="1:10" ht="18.75" x14ac:dyDescent="0.3">
      <c r="B18" s="24"/>
      <c r="C18" s="24"/>
      <c r="D18" s="24"/>
      <c r="E18" s="30"/>
      <c r="F18" s="24"/>
      <c r="G18" s="24"/>
      <c r="H18" s="24"/>
      <c r="I18" s="24"/>
      <c r="J18" s="24"/>
    </row>
    <row r="19" spans="1:10" ht="18.75" x14ac:dyDescent="0.3">
      <c r="B19" s="24"/>
      <c r="C19" s="24"/>
      <c r="D19" s="24"/>
      <c r="E19" s="24"/>
      <c r="F19" s="24"/>
      <c r="G19" s="24"/>
      <c r="H19" s="24"/>
      <c r="I19" s="24"/>
      <c r="J19" s="24"/>
    </row>
    <row r="20" spans="1:10" ht="18.75" x14ac:dyDescent="0.3">
      <c r="B20" s="32" t="s">
        <v>7</v>
      </c>
      <c r="C20" s="29">
        <v>2.5000000000000001E-3</v>
      </c>
      <c r="D20" s="29">
        <v>5.0000000000000001E-3</v>
      </c>
      <c r="F20" s="24"/>
      <c r="H20" s="24"/>
      <c r="I20" s="24"/>
      <c r="J20" s="24"/>
    </row>
    <row r="21" spans="1:10" ht="18.75" x14ac:dyDescent="0.3">
      <c r="B21" s="24"/>
      <c r="C21" s="24"/>
      <c r="D21" s="24"/>
      <c r="E21" s="24"/>
      <c r="F21" s="24"/>
      <c r="G21" s="24"/>
      <c r="H21" s="24"/>
      <c r="I21" s="24"/>
      <c r="J21" s="24"/>
    </row>
    <row r="22" spans="1:10" ht="18.75" x14ac:dyDescent="0.3"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18.75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1:10" ht="18.75" x14ac:dyDescent="0.3">
      <c r="A24" s="35"/>
      <c r="B24" s="35"/>
      <c r="C24" s="35"/>
      <c r="D24" s="35"/>
      <c r="E24" s="35" t="s">
        <v>36</v>
      </c>
      <c r="F24" s="33"/>
      <c r="G24" s="24"/>
      <c r="H24" s="24"/>
      <c r="I24" s="24"/>
      <c r="J24" s="24"/>
    </row>
    <row r="25" spans="1:10" ht="18.75" x14ac:dyDescent="0.3">
      <c r="A25" s="35"/>
      <c r="B25" s="35"/>
      <c r="C25" s="35"/>
      <c r="D25" s="35"/>
      <c r="E25" s="35"/>
      <c r="F25" s="24"/>
      <c r="G25" s="24"/>
      <c r="H25" s="24"/>
      <c r="I25" s="24"/>
      <c r="J25" s="24"/>
    </row>
    <row r="26" spans="1:10" ht="18.75" x14ac:dyDescent="0.3">
      <c r="A26" s="35"/>
      <c r="B26" s="35"/>
      <c r="C26" s="35"/>
      <c r="D26" s="35"/>
      <c r="E26" s="35"/>
      <c r="F26" s="24"/>
      <c r="G26" s="24"/>
      <c r="H26" s="24"/>
      <c r="I26" s="24"/>
      <c r="J26" s="24"/>
    </row>
    <row r="27" spans="1:10" ht="18.75" x14ac:dyDescent="0.3">
      <c r="A27" s="35"/>
      <c r="B27" s="164" t="s">
        <v>37</v>
      </c>
      <c r="C27" s="164"/>
      <c r="D27" s="35"/>
      <c r="E27" s="35"/>
      <c r="F27" s="24"/>
      <c r="G27" s="24"/>
      <c r="H27" s="24"/>
      <c r="I27" s="24"/>
      <c r="J27" s="24"/>
    </row>
    <row r="28" spans="1:10" ht="18.75" x14ac:dyDescent="0.3">
      <c r="A28" s="35"/>
      <c r="B28" s="35"/>
      <c r="C28" s="35"/>
      <c r="D28" s="35"/>
      <c r="E28" s="35"/>
      <c r="F28" s="24"/>
      <c r="G28" s="24"/>
      <c r="H28" s="24"/>
      <c r="I28" s="24"/>
      <c r="J28" s="24"/>
    </row>
    <row r="29" spans="1:10" ht="18.75" x14ac:dyDescent="0.3">
      <c r="A29" s="35"/>
      <c r="B29" s="35"/>
      <c r="C29" s="35"/>
      <c r="D29" s="35"/>
      <c r="E29" s="35"/>
      <c r="F29" s="24"/>
      <c r="G29" s="24"/>
      <c r="H29" s="24"/>
      <c r="I29" s="24"/>
      <c r="J29" s="24"/>
    </row>
    <row r="30" spans="1:10" x14ac:dyDescent="0.25">
      <c r="A30" s="164" t="s">
        <v>31</v>
      </c>
      <c r="B30" s="164"/>
      <c r="C30" s="35" t="s">
        <v>24</v>
      </c>
      <c r="D30" s="35"/>
      <c r="E30" s="35" t="s">
        <v>23</v>
      </c>
    </row>
  </sheetData>
  <mergeCells count="5">
    <mergeCell ref="B27:C27"/>
    <mergeCell ref="A30:B30"/>
    <mergeCell ref="A16:A17"/>
    <mergeCell ref="A9:B10"/>
    <mergeCell ref="A12:B13"/>
  </mergeCells>
  <pageMargins left="0.45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6:J37"/>
  <sheetViews>
    <sheetView view="pageBreakPreview" zoomScaleNormal="100" zoomScaleSheetLayoutView="100" workbookViewId="0">
      <selection activeCell="K7" sqref="K7"/>
    </sheetView>
  </sheetViews>
  <sheetFormatPr defaultRowHeight="15" x14ac:dyDescent="0.25"/>
  <cols>
    <col min="1" max="1" width="10.85546875" customWidth="1"/>
    <col min="2" max="2" width="0.140625" customWidth="1"/>
    <col min="3" max="3" width="16.140625" customWidth="1"/>
    <col min="4" max="4" width="13.42578125" customWidth="1"/>
    <col min="5" max="5" width="10" customWidth="1"/>
    <col min="6" max="6" width="14" customWidth="1"/>
  </cols>
  <sheetData>
    <row r="6" spans="1:10" ht="18.75" x14ac:dyDescent="0.3">
      <c r="B6" s="24"/>
      <c r="C6" s="25" t="s">
        <v>22</v>
      </c>
      <c r="D6" s="24"/>
      <c r="E6" s="24"/>
      <c r="F6" s="35"/>
      <c r="G6" s="35" t="s">
        <v>74</v>
      </c>
    </row>
    <row r="7" spans="1:10" ht="18.75" x14ac:dyDescent="0.3">
      <c r="B7" s="24"/>
      <c r="C7" s="24"/>
      <c r="D7" s="24"/>
      <c r="E7" s="24"/>
      <c r="F7" s="35"/>
      <c r="G7" s="35" t="s">
        <v>34</v>
      </c>
    </row>
    <row r="8" spans="1:10" x14ac:dyDescent="0.25">
      <c r="A8" s="36"/>
      <c r="B8" s="35"/>
      <c r="C8" s="35"/>
    </row>
    <row r="9" spans="1:10" x14ac:dyDescent="0.25">
      <c r="A9" s="36"/>
      <c r="B9" s="35"/>
      <c r="C9" s="35"/>
    </row>
    <row r="10" spans="1:10" ht="18.75" x14ac:dyDescent="0.3">
      <c r="A10" s="72" t="s">
        <v>46</v>
      </c>
      <c r="B10" s="89" t="s">
        <v>40</v>
      </c>
      <c r="C10" s="90"/>
      <c r="D10" s="91" t="s">
        <v>41</v>
      </c>
      <c r="E10" s="91" t="s">
        <v>42</v>
      </c>
      <c r="F10" s="91" t="s">
        <v>56</v>
      </c>
      <c r="H10" s="24"/>
      <c r="J10" s="24"/>
    </row>
    <row r="11" spans="1:10" x14ac:dyDescent="0.25">
      <c r="A11" s="195" t="s">
        <v>1</v>
      </c>
      <c r="B11" s="197" t="s">
        <v>6</v>
      </c>
      <c r="C11" s="197"/>
      <c r="D11" s="163">
        <v>7.4999999999999997E-3</v>
      </c>
      <c r="E11" s="163">
        <v>1.2500000000000001E-2</v>
      </c>
      <c r="F11" s="199" t="s">
        <v>45</v>
      </c>
    </row>
    <row r="12" spans="1:10" x14ac:dyDescent="0.25">
      <c r="A12" s="195"/>
      <c r="B12" s="197"/>
      <c r="C12" s="197"/>
      <c r="D12" s="163"/>
      <c r="E12" s="196"/>
      <c r="F12" s="200"/>
    </row>
    <row r="13" spans="1:10" x14ac:dyDescent="0.25">
      <c r="A13" s="195"/>
      <c r="B13" s="197" t="s">
        <v>0</v>
      </c>
      <c r="C13" s="197"/>
      <c r="D13" s="163">
        <v>5.0000000000000001E-3</v>
      </c>
      <c r="E13" s="163">
        <v>7.4999999999999997E-3</v>
      </c>
      <c r="F13" s="200"/>
    </row>
    <row r="14" spans="1:10" x14ac:dyDescent="0.25">
      <c r="A14" s="195"/>
      <c r="B14" s="197"/>
      <c r="C14" s="197"/>
      <c r="D14" s="196"/>
      <c r="E14" s="196"/>
      <c r="F14" s="200"/>
    </row>
    <row r="15" spans="1:10" x14ac:dyDescent="0.25">
      <c r="A15" s="195"/>
      <c r="B15" s="73" t="s">
        <v>7</v>
      </c>
      <c r="C15" s="73"/>
      <c r="D15" s="3">
        <v>2.5000000000000001E-3</v>
      </c>
      <c r="E15" s="3">
        <v>5.0000000000000001E-3</v>
      </c>
      <c r="F15" s="200"/>
    </row>
    <row r="16" spans="1:10" ht="18" customHeight="1" x14ac:dyDescent="0.25">
      <c r="A16" s="195"/>
      <c r="B16" s="73" t="s">
        <v>43</v>
      </c>
      <c r="C16" s="73"/>
      <c r="D16" s="68">
        <v>1.25E-3</v>
      </c>
      <c r="E16" s="3">
        <v>2.5000000000000001E-3</v>
      </c>
      <c r="F16" s="201"/>
    </row>
    <row r="17" spans="1:8" ht="18.75" x14ac:dyDescent="0.3">
      <c r="A17" s="30"/>
    </row>
    <row r="18" spans="1:8" ht="18.75" x14ac:dyDescent="0.3">
      <c r="A18" s="72" t="s">
        <v>46</v>
      </c>
      <c r="B18" s="89" t="s">
        <v>40</v>
      </c>
      <c r="C18" s="90"/>
      <c r="D18" s="91" t="s">
        <v>41</v>
      </c>
      <c r="E18" s="91" t="s">
        <v>42</v>
      </c>
      <c r="F18" s="91" t="s">
        <v>56</v>
      </c>
    </row>
    <row r="19" spans="1:8" x14ac:dyDescent="0.25">
      <c r="A19" s="195" t="s">
        <v>2</v>
      </c>
      <c r="B19" s="197" t="s">
        <v>6</v>
      </c>
      <c r="C19" s="197"/>
      <c r="D19" s="163">
        <v>0.01</v>
      </c>
      <c r="E19" s="163">
        <v>1.4999999999999999E-2</v>
      </c>
      <c r="F19" s="195" t="s">
        <v>44</v>
      </c>
    </row>
    <row r="20" spans="1:8" x14ac:dyDescent="0.25">
      <c r="A20" s="195"/>
      <c r="B20" s="197"/>
      <c r="C20" s="197"/>
      <c r="D20" s="163"/>
      <c r="E20" s="196"/>
      <c r="F20" s="195"/>
    </row>
    <row r="21" spans="1:8" x14ac:dyDescent="0.25">
      <c r="A21" s="195"/>
      <c r="B21" s="197" t="s">
        <v>0</v>
      </c>
      <c r="C21" s="197"/>
      <c r="D21" s="163">
        <v>7.4999999999999997E-3</v>
      </c>
      <c r="E21" s="163">
        <v>0.01</v>
      </c>
      <c r="F21" s="195"/>
    </row>
    <row r="22" spans="1:8" x14ac:dyDescent="0.25">
      <c r="A22" s="195"/>
      <c r="B22" s="197"/>
      <c r="C22" s="197"/>
      <c r="D22" s="196"/>
      <c r="E22" s="196"/>
      <c r="F22" s="195"/>
    </row>
    <row r="23" spans="1:8" x14ac:dyDescent="0.25">
      <c r="A23" s="195"/>
      <c r="B23" s="73" t="s">
        <v>7</v>
      </c>
      <c r="C23" s="73"/>
      <c r="D23" s="3">
        <v>5.0000000000000001E-3</v>
      </c>
      <c r="E23" s="3">
        <v>7.4999999999999997E-3</v>
      </c>
      <c r="F23" s="195"/>
    </row>
    <row r="24" spans="1:8" ht="18" customHeight="1" x14ac:dyDescent="0.25">
      <c r="A24" s="195"/>
      <c r="B24" s="73" t="s">
        <v>43</v>
      </c>
      <c r="C24" s="73"/>
      <c r="D24" s="3">
        <v>2.5000000000000001E-3</v>
      </c>
      <c r="E24" s="3">
        <v>5.0000000000000001E-3</v>
      </c>
      <c r="F24" s="195"/>
    </row>
    <row r="25" spans="1:8" ht="18.75" x14ac:dyDescent="0.3">
      <c r="A25" s="24"/>
    </row>
    <row r="26" spans="1:8" ht="18.75" x14ac:dyDescent="0.3">
      <c r="A26" s="35"/>
      <c r="C26" s="5"/>
      <c r="D26" s="92" t="s">
        <v>1</v>
      </c>
      <c r="E26" s="92" t="s">
        <v>2</v>
      </c>
    </row>
    <row r="27" spans="1:8" x14ac:dyDescent="0.25">
      <c r="A27" s="179" t="s">
        <v>26</v>
      </c>
      <c r="B27" s="179" t="s">
        <v>26</v>
      </c>
      <c r="C27" s="49" t="s">
        <v>6</v>
      </c>
      <c r="D27" s="3">
        <v>0.02</v>
      </c>
      <c r="E27" s="3">
        <v>0.02</v>
      </c>
    </row>
    <row r="28" spans="1:8" x14ac:dyDescent="0.25">
      <c r="A28" s="179"/>
      <c r="B28" s="179"/>
      <c r="C28" s="49" t="s">
        <v>0</v>
      </c>
      <c r="D28" s="3">
        <v>1.4999999999999999E-2</v>
      </c>
      <c r="E28" s="3">
        <v>1.4999999999999999E-2</v>
      </c>
    </row>
    <row r="29" spans="1:8" x14ac:dyDescent="0.25">
      <c r="A29" s="164"/>
      <c r="B29" s="164"/>
      <c r="C29" s="35"/>
      <c r="D29" s="35"/>
      <c r="E29" s="35"/>
    </row>
    <row r="32" spans="1:8" x14ac:dyDescent="0.25">
      <c r="C32" s="35"/>
      <c r="D32" s="35"/>
      <c r="H32" s="35" t="s">
        <v>36</v>
      </c>
    </row>
    <row r="35" spans="1:8" x14ac:dyDescent="0.25">
      <c r="A35" s="35"/>
      <c r="B35" s="35"/>
      <c r="C35" s="164" t="s">
        <v>47</v>
      </c>
      <c r="D35" s="164"/>
      <c r="E35" s="198"/>
      <c r="F35" s="198"/>
    </row>
    <row r="36" spans="1:8" x14ac:dyDescent="0.25">
      <c r="A36" s="35"/>
      <c r="B36" s="35"/>
      <c r="C36" s="35"/>
      <c r="D36" s="35"/>
      <c r="E36" s="35"/>
    </row>
    <row r="37" spans="1:8" x14ac:dyDescent="0.25">
      <c r="A37" s="35"/>
      <c r="B37" s="35"/>
      <c r="C37" s="35" t="s">
        <v>31</v>
      </c>
      <c r="D37" s="35"/>
      <c r="E37" s="5"/>
      <c r="F37" s="5" t="s">
        <v>24</v>
      </c>
      <c r="H37" s="5" t="s">
        <v>23</v>
      </c>
    </row>
  </sheetData>
  <mergeCells count="21">
    <mergeCell ref="F11:F16"/>
    <mergeCell ref="B11:C12"/>
    <mergeCell ref="B13:C14"/>
    <mergeCell ref="B19:C20"/>
    <mergeCell ref="D11:D12"/>
    <mergeCell ref="D13:D14"/>
    <mergeCell ref="D19:D20"/>
    <mergeCell ref="F19:F24"/>
    <mergeCell ref="C35:D35"/>
    <mergeCell ref="B27:B28"/>
    <mergeCell ref="A27:A28"/>
    <mergeCell ref="E35:F35"/>
    <mergeCell ref="A29:B29"/>
    <mergeCell ref="A11:A16"/>
    <mergeCell ref="A19:A24"/>
    <mergeCell ref="E19:E20"/>
    <mergeCell ref="B21:C22"/>
    <mergeCell ref="D21:D22"/>
    <mergeCell ref="E21:E22"/>
    <mergeCell ref="E11:E12"/>
    <mergeCell ref="E13:E14"/>
  </mergeCells>
  <pageMargins left="0.7" right="0.7" top="0.75" bottom="0.75" header="0.3" footer="0.3"/>
  <pageSetup paperSize="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J58"/>
  <sheetViews>
    <sheetView showGridLines="0" view="pageBreakPreview" topLeftCell="A25" zoomScaleNormal="100" zoomScaleSheetLayoutView="100" workbookViewId="0">
      <selection activeCell="A10" sqref="A10:B39"/>
    </sheetView>
  </sheetViews>
  <sheetFormatPr defaultRowHeight="15" x14ac:dyDescent="0.25"/>
  <cols>
    <col min="1" max="1" width="24.5703125" style="78" customWidth="1"/>
    <col min="2" max="2" width="18.85546875" customWidth="1"/>
    <col min="3" max="4" width="12.42578125" customWidth="1"/>
    <col min="5" max="5" width="9.42578125" customWidth="1"/>
    <col min="8" max="8" width="12" bestFit="1" customWidth="1"/>
  </cols>
  <sheetData>
    <row r="6" spans="1:5" ht="21" x14ac:dyDescent="0.25">
      <c r="A6" s="75" t="s">
        <v>59</v>
      </c>
    </row>
    <row r="8" spans="1:5" x14ac:dyDescent="0.25">
      <c r="E8" t="s">
        <v>74</v>
      </c>
    </row>
    <row r="9" spans="1:5" x14ac:dyDescent="0.25">
      <c r="E9" t="s">
        <v>29</v>
      </c>
    </row>
    <row r="12" spans="1:5" x14ac:dyDescent="0.25">
      <c r="A12" s="204" t="s">
        <v>6</v>
      </c>
      <c r="B12" s="76" t="s">
        <v>53</v>
      </c>
      <c r="C12" s="76" t="s">
        <v>4</v>
      </c>
      <c r="D12" s="202" t="s">
        <v>5</v>
      </c>
      <c r="E12" s="203"/>
    </row>
    <row r="13" spans="1:5" x14ac:dyDescent="0.25">
      <c r="A13" s="205"/>
      <c r="B13" s="79" t="s">
        <v>60</v>
      </c>
      <c r="C13" s="79" t="s">
        <v>61</v>
      </c>
      <c r="D13" s="79" t="s">
        <v>62</v>
      </c>
      <c r="E13" s="80">
        <v>2.0099999999999998</v>
      </c>
    </row>
    <row r="14" spans="1:5" x14ac:dyDescent="0.25">
      <c r="A14" s="55" t="s">
        <v>1</v>
      </c>
      <c r="B14" s="3">
        <v>1.2500000000000001E-2</v>
      </c>
      <c r="C14" s="3">
        <v>1.7500000000000002E-2</v>
      </c>
      <c r="D14" s="3">
        <v>0.02</v>
      </c>
      <c r="E14" s="3">
        <v>2.5000000000000001E-2</v>
      </c>
    </row>
    <row r="15" spans="1:5" x14ac:dyDescent="0.25">
      <c r="A15" s="55" t="s">
        <v>57</v>
      </c>
      <c r="B15" s="3">
        <v>1.2500000000000001E-2</v>
      </c>
      <c r="C15" s="3">
        <v>1.7500000000000002E-2</v>
      </c>
      <c r="D15" s="3">
        <v>0.02</v>
      </c>
      <c r="E15" s="3">
        <v>2.5000000000000001E-2</v>
      </c>
    </row>
    <row r="16" spans="1:5" x14ac:dyDescent="0.25">
      <c r="A16" s="55" t="s">
        <v>58</v>
      </c>
      <c r="B16" s="3">
        <v>1.4999999999999999E-2</v>
      </c>
      <c r="C16" s="3">
        <v>0.02</v>
      </c>
      <c r="D16" s="3">
        <v>2.5000000000000001E-2</v>
      </c>
      <c r="E16" s="3">
        <v>3.5000000000000003E-2</v>
      </c>
    </row>
    <row r="18" spans="1:10" x14ac:dyDescent="0.25">
      <c r="A18" s="204" t="s">
        <v>39</v>
      </c>
      <c r="B18" s="76" t="s">
        <v>53</v>
      </c>
      <c r="C18" s="76" t="s">
        <v>4</v>
      </c>
      <c r="D18" s="202" t="s">
        <v>5</v>
      </c>
      <c r="E18" s="203"/>
    </row>
    <row r="19" spans="1:10" x14ac:dyDescent="0.25">
      <c r="A19" s="205"/>
      <c r="B19" s="79" t="s">
        <v>60</v>
      </c>
      <c r="C19" s="79" t="s">
        <v>61</v>
      </c>
      <c r="D19" s="79" t="s">
        <v>62</v>
      </c>
      <c r="E19" s="80">
        <v>2.0099999999999998</v>
      </c>
    </row>
    <row r="20" spans="1:10" x14ac:dyDescent="0.25">
      <c r="A20" s="55" t="s">
        <v>1</v>
      </c>
      <c r="B20" s="3">
        <v>5.0000000000000001E-3</v>
      </c>
      <c r="C20" s="3">
        <v>0.01</v>
      </c>
      <c r="D20" s="3">
        <v>1.2500000000000001E-2</v>
      </c>
      <c r="E20" s="3">
        <v>1.4999999999999999E-2</v>
      </c>
    </row>
    <row r="21" spans="1:10" x14ac:dyDescent="0.25">
      <c r="A21" s="55" t="s">
        <v>57</v>
      </c>
      <c r="B21" s="3">
        <v>5.0000000000000001E-3</v>
      </c>
      <c r="C21" s="3">
        <v>0.01</v>
      </c>
      <c r="D21" s="3">
        <v>1.2500000000000001E-2</v>
      </c>
      <c r="E21" s="3">
        <v>1.4999999999999999E-2</v>
      </c>
    </row>
    <row r="22" spans="1:10" x14ac:dyDescent="0.25">
      <c r="A22" s="55" t="s">
        <v>58</v>
      </c>
      <c r="B22" s="3">
        <v>7.4999999999999997E-3</v>
      </c>
      <c r="C22" s="3">
        <v>1.2500000000000001E-2</v>
      </c>
      <c r="D22" s="3">
        <v>1.2500000000000001E-2</v>
      </c>
      <c r="E22" s="3">
        <v>1.7500000000000002E-2</v>
      </c>
    </row>
    <row r="23" spans="1:10" x14ac:dyDescent="0.25">
      <c r="C23" s="18"/>
      <c r="D23" s="18"/>
    </row>
    <row r="24" spans="1:10" x14ac:dyDescent="0.25">
      <c r="A24" s="204" t="s">
        <v>7</v>
      </c>
      <c r="B24" s="76" t="s">
        <v>53</v>
      </c>
      <c r="C24" s="76" t="s">
        <v>4</v>
      </c>
      <c r="D24" s="202" t="s">
        <v>5</v>
      </c>
      <c r="E24" s="203"/>
    </row>
    <row r="25" spans="1:10" x14ac:dyDescent="0.25">
      <c r="A25" s="205"/>
      <c r="B25" s="79" t="s">
        <v>60</v>
      </c>
      <c r="C25" s="79" t="s">
        <v>61</v>
      </c>
      <c r="D25" s="79" t="s">
        <v>62</v>
      </c>
      <c r="E25" s="80">
        <v>2.0099999999999998</v>
      </c>
    </row>
    <row r="26" spans="1:10" x14ac:dyDescent="0.25">
      <c r="A26" s="55" t="s">
        <v>1</v>
      </c>
      <c r="B26" s="3">
        <v>2.5000000000000001E-3</v>
      </c>
      <c r="C26" s="3">
        <v>5.0000000000000001E-3</v>
      </c>
      <c r="D26" s="3">
        <v>6.0000000000000001E-3</v>
      </c>
      <c r="E26" s="3">
        <v>7.4999999999999997E-3</v>
      </c>
    </row>
    <row r="27" spans="1:10" x14ac:dyDescent="0.25">
      <c r="A27" s="55" t="s">
        <v>57</v>
      </c>
      <c r="B27" s="3">
        <v>2.5000000000000001E-3</v>
      </c>
      <c r="C27" s="3">
        <v>5.0000000000000001E-3</v>
      </c>
      <c r="D27" s="3">
        <v>6.0000000000000001E-3</v>
      </c>
      <c r="E27" s="3">
        <v>7.4999999999999997E-3</v>
      </c>
    </row>
    <row r="28" spans="1:10" x14ac:dyDescent="0.25">
      <c r="A28" s="55" t="s">
        <v>58</v>
      </c>
      <c r="B28" s="3">
        <v>5.0000000000000001E-3</v>
      </c>
      <c r="C28" s="3">
        <v>6.0000000000000001E-3</v>
      </c>
      <c r="D28" s="3">
        <v>7.4999999999999997E-3</v>
      </c>
      <c r="E28" s="3">
        <v>1.4999999999999999E-2</v>
      </c>
      <c r="I28" s="1"/>
    </row>
    <row r="30" spans="1:10" x14ac:dyDescent="0.25">
      <c r="A30" s="204" t="s">
        <v>15</v>
      </c>
      <c r="B30" s="76" t="s">
        <v>53</v>
      </c>
      <c r="C30" s="76" t="s">
        <v>4</v>
      </c>
      <c r="D30" s="202" t="s">
        <v>5</v>
      </c>
      <c r="E30" s="203"/>
      <c r="J30" s="1"/>
    </row>
    <row r="31" spans="1:10" x14ac:dyDescent="0.25">
      <c r="A31" s="205"/>
      <c r="B31" s="79" t="s">
        <v>60</v>
      </c>
      <c r="C31" s="79" t="s">
        <v>61</v>
      </c>
      <c r="D31" s="79" t="s">
        <v>62</v>
      </c>
      <c r="E31" s="80">
        <v>2.0099999999999998</v>
      </c>
      <c r="J31" s="1"/>
    </row>
    <row r="32" spans="1:10" x14ac:dyDescent="0.25">
      <c r="A32" s="55" t="s">
        <v>1</v>
      </c>
      <c r="B32" s="93">
        <v>1.25E-3</v>
      </c>
      <c r="C32" s="3">
        <v>2.5000000000000001E-3</v>
      </c>
      <c r="D32" s="3">
        <v>4.0000000000000001E-3</v>
      </c>
      <c r="E32" s="3">
        <v>5.0000000000000001E-3</v>
      </c>
      <c r="H32" s="81"/>
    </row>
    <row r="33" spans="1:10" x14ac:dyDescent="0.25">
      <c r="A33" s="55" t="s">
        <v>57</v>
      </c>
      <c r="B33" s="94">
        <v>1.25E-3</v>
      </c>
      <c r="C33" s="3">
        <v>2.5000000000000001E-3</v>
      </c>
      <c r="D33" s="3">
        <v>4.0000000000000001E-3</v>
      </c>
      <c r="E33" s="3">
        <v>5.0000000000000001E-3</v>
      </c>
      <c r="H33" s="1"/>
    </row>
    <row r="34" spans="1:10" x14ac:dyDescent="0.25">
      <c r="A34" s="55" t="s">
        <v>58</v>
      </c>
      <c r="B34" s="3">
        <v>2.5000000000000001E-3</v>
      </c>
      <c r="C34" s="3">
        <v>4.0000000000000001E-3</v>
      </c>
      <c r="D34" s="3">
        <v>5.0000000000000001E-3</v>
      </c>
      <c r="E34" s="3">
        <v>7.4999999999999997E-3</v>
      </c>
      <c r="G34" s="56"/>
      <c r="H34" s="59"/>
      <c r="I34" s="5"/>
    </row>
    <row r="35" spans="1:10" x14ac:dyDescent="0.25">
      <c r="B35" s="1"/>
      <c r="C35" s="1"/>
      <c r="D35" s="1"/>
      <c r="E35" s="1"/>
      <c r="G35" s="38"/>
      <c r="H35" s="59"/>
      <c r="I35" s="5"/>
    </row>
    <row r="36" spans="1:10" x14ac:dyDescent="0.25">
      <c r="A36" s="54" t="s">
        <v>26</v>
      </c>
      <c r="B36" s="67"/>
      <c r="G36" s="56"/>
      <c r="H36" s="59"/>
      <c r="I36" s="5"/>
    </row>
    <row r="37" spans="1:10" x14ac:dyDescent="0.25">
      <c r="A37" s="60" t="s">
        <v>6</v>
      </c>
      <c r="B37" s="3">
        <v>0.02</v>
      </c>
      <c r="G37" s="35"/>
      <c r="H37" s="59"/>
      <c r="I37" s="5"/>
    </row>
    <row r="38" spans="1:10" x14ac:dyDescent="0.25">
      <c r="A38" s="60" t="s">
        <v>0</v>
      </c>
      <c r="B38" s="3">
        <v>1.4999999999999999E-2</v>
      </c>
      <c r="G38" s="35"/>
      <c r="H38" s="56"/>
      <c r="I38" s="5"/>
    </row>
    <row r="39" spans="1:10" x14ac:dyDescent="0.25">
      <c r="G39" s="35"/>
      <c r="H39" s="56"/>
      <c r="I39" s="5"/>
    </row>
    <row r="42" spans="1:10" ht="18.75" x14ac:dyDescent="0.3">
      <c r="A42" s="77"/>
      <c r="B42" s="35"/>
      <c r="C42" s="35"/>
      <c r="D42" s="35"/>
      <c r="E42" s="35" t="s">
        <v>36</v>
      </c>
      <c r="F42" s="33"/>
      <c r="G42" s="24"/>
      <c r="H42" s="24"/>
      <c r="I42" s="24"/>
      <c r="J42" s="24"/>
    </row>
    <row r="43" spans="1:10" ht="18.75" x14ac:dyDescent="0.3">
      <c r="A43" s="77"/>
      <c r="B43" s="35"/>
      <c r="C43" s="35"/>
      <c r="D43" s="35"/>
      <c r="E43" s="35"/>
      <c r="F43" s="24"/>
      <c r="G43" s="24"/>
      <c r="H43" s="24"/>
      <c r="I43" s="24"/>
      <c r="J43" s="24"/>
    </row>
    <row r="44" spans="1:10" ht="18.75" x14ac:dyDescent="0.3">
      <c r="A44" s="77"/>
      <c r="B44" s="35"/>
      <c r="C44" s="35"/>
      <c r="D44" s="35"/>
      <c r="E44" s="35"/>
      <c r="F44" s="24"/>
      <c r="G44" s="24"/>
      <c r="H44" s="24"/>
      <c r="I44" s="24"/>
      <c r="J44" s="24"/>
    </row>
    <row r="45" spans="1:10" x14ac:dyDescent="0.25">
      <c r="A45" s="77" t="s">
        <v>31</v>
      </c>
      <c r="B45" s="5" t="s">
        <v>24</v>
      </c>
      <c r="C45" s="35"/>
      <c r="D45" s="35"/>
      <c r="E45" s="35" t="s">
        <v>23</v>
      </c>
    </row>
    <row r="46" spans="1:10" ht="18.75" x14ac:dyDescent="0.3">
      <c r="A46" s="77"/>
      <c r="B46" s="35"/>
      <c r="C46" s="35"/>
      <c r="D46" s="35"/>
      <c r="E46" s="35"/>
      <c r="G46" s="24"/>
      <c r="H46" s="24"/>
      <c r="I46" s="24"/>
      <c r="J46" s="24"/>
    </row>
    <row r="47" spans="1:10" x14ac:dyDescent="0.25">
      <c r="A47"/>
    </row>
    <row r="48" spans="1:10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</sheetData>
  <mergeCells count="8">
    <mergeCell ref="D12:E12"/>
    <mergeCell ref="D18:E18"/>
    <mergeCell ref="D24:E24"/>
    <mergeCell ref="D30:E30"/>
    <mergeCell ref="A12:A13"/>
    <mergeCell ref="A18:A19"/>
    <mergeCell ref="A24:A25"/>
    <mergeCell ref="A30:A3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2DF8-195A-44BC-8D91-FDBF6F9567CD}">
  <dimension ref="A6:M58"/>
  <sheetViews>
    <sheetView showGridLines="0" view="pageBreakPreview" zoomScaleNormal="100" zoomScaleSheetLayoutView="100" workbookViewId="0">
      <selection activeCell="M7" sqref="J7:M27"/>
    </sheetView>
  </sheetViews>
  <sheetFormatPr defaultRowHeight="15" x14ac:dyDescent="0.25"/>
  <cols>
    <col min="1" max="1" width="24.5703125" style="78" customWidth="1"/>
    <col min="2" max="2" width="18.85546875" customWidth="1"/>
    <col min="3" max="5" width="12.42578125" customWidth="1"/>
    <col min="6" max="6" width="9.42578125" customWidth="1"/>
    <col min="9" max="9" width="12" bestFit="1" customWidth="1"/>
  </cols>
  <sheetData>
    <row r="6" spans="1:12" ht="21" x14ac:dyDescent="0.25">
      <c r="A6" s="75" t="s">
        <v>59</v>
      </c>
    </row>
    <row r="8" spans="1:12" x14ac:dyDescent="0.25">
      <c r="F8" t="s">
        <v>74</v>
      </c>
    </row>
    <row r="9" spans="1:12" x14ac:dyDescent="0.25">
      <c r="F9" t="s">
        <v>29</v>
      </c>
    </row>
    <row r="11" spans="1:12" x14ac:dyDescent="0.25">
      <c r="J11" s="84"/>
      <c r="K11" s="84"/>
      <c r="L11" s="84"/>
    </row>
    <row r="12" spans="1:12" x14ac:dyDescent="0.25">
      <c r="A12" s="204" t="s">
        <v>6</v>
      </c>
      <c r="B12" s="76" t="s">
        <v>53</v>
      </c>
      <c r="C12" s="76" t="s">
        <v>4</v>
      </c>
      <c r="D12" s="202" t="s">
        <v>5</v>
      </c>
      <c r="E12" s="206"/>
      <c r="F12" s="203"/>
      <c r="J12" s="1"/>
      <c r="K12" s="1"/>
      <c r="L12" s="1"/>
    </row>
    <row r="13" spans="1:12" x14ac:dyDescent="0.25">
      <c r="A13" s="205"/>
      <c r="B13" s="79" t="s">
        <v>60</v>
      </c>
      <c r="C13" s="79" t="s">
        <v>61</v>
      </c>
      <c r="D13" s="79" t="s">
        <v>176</v>
      </c>
      <c r="E13" s="79" t="s">
        <v>177</v>
      </c>
      <c r="F13" s="80">
        <v>2.0099999999999998</v>
      </c>
    </row>
    <row r="14" spans="1:12" x14ac:dyDescent="0.25">
      <c r="A14" s="55" t="s">
        <v>1</v>
      </c>
      <c r="B14" s="3">
        <v>1.2500000000000001E-2</v>
      </c>
      <c r="C14" s="3">
        <v>1.7500000000000002E-2</v>
      </c>
      <c r="D14" s="3">
        <v>0.02</v>
      </c>
      <c r="E14" s="3">
        <v>2.2499999999999999E-2</v>
      </c>
      <c r="F14" s="3">
        <v>2.5000000000000001E-2</v>
      </c>
    </row>
    <row r="15" spans="1:12" x14ac:dyDescent="0.25">
      <c r="A15" s="55" t="s">
        <v>57</v>
      </c>
      <c r="B15" s="3">
        <v>1.2500000000000001E-2</v>
      </c>
      <c r="C15" s="3">
        <v>1.7500000000000002E-2</v>
      </c>
      <c r="D15" s="3">
        <v>0.02</v>
      </c>
      <c r="E15" s="3">
        <v>2.2499999999999999E-2</v>
      </c>
      <c r="F15" s="3">
        <v>2.5000000000000001E-2</v>
      </c>
    </row>
    <row r="16" spans="1:12" x14ac:dyDescent="0.25">
      <c r="A16" s="55" t="s">
        <v>58</v>
      </c>
      <c r="B16" s="3">
        <v>1.4999999999999999E-2</v>
      </c>
      <c r="C16" s="3">
        <v>0.02</v>
      </c>
      <c r="D16" s="3">
        <v>2.5000000000000001E-2</v>
      </c>
      <c r="E16" s="3">
        <v>0.03</v>
      </c>
      <c r="F16" s="3">
        <v>3.5000000000000003E-2</v>
      </c>
    </row>
    <row r="17" spans="1:13" x14ac:dyDescent="0.25">
      <c r="J17" s="84"/>
      <c r="K17" s="84"/>
      <c r="L17" s="84"/>
      <c r="M17" s="84"/>
    </row>
    <row r="18" spans="1:13" x14ac:dyDescent="0.25">
      <c r="A18" s="204" t="s">
        <v>39</v>
      </c>
      <c r="B18" s="76" t="s">
        <v>53</v>
      </c>
      <c r="C18" s="76" t="s">
        <v>4</v>
      </c>
      <c r="D18" s="202" t="s">
        <v>5</v>
      </c>
      <c r="E18" s="206"/>
      <c r="F18" s="203"/>
      <c r="J18" s="1"/>
      <c r="K18" s="1"/>
      <c r="L18" s="1"/>
    </row>
    <row r="19" spans="1:13" x14ac:dyDescent="0.25">
      <c r="A19" s="205"/>
      <c r="B19" s="79" t="s">
        <v>60</v>
      </c>
      <c r="C19" s="79" t="s">
        <v>61</v>
      </c>
      <c r="D19" s="79" t="s">
        <v>176</v>
      </c>
      <c r="E19" s="79" t="s">
        <v>177</v>
      </c>
      <c r="F19" s="80">
        <v>2.0099999999999998</v>
      </c>
    </row>
    <row r="20" spans="1:13" x14ac:dyDescent="0.25">
      <c r="A20" s="55" t="s">
        <v>1</v>
      </c>
      <c r="B20" s="3">
        <v>7.4999999999999997E-3</v>
      </c>
      <c r="C20" s="3">
        <v>0.01</v>
      </c>
      <c r="D20" s="3">
        <v>1.2500000000000001E-2</v>
      </c>
      <c r="E20" s="3">
        <v>1.4999999999999999E-2</v>
      </c>
      <c r="F20" s="3">
        <v>1.7500000000000002E-2</v>
      </c>
    </row>
    <row r="21" spans="1:13" x14ac:dyDescent="0.25">
      <c r="A21" s="55" t="s">
        <v>57</v>
      </c>
      <c r="B21" s="3">
        <v>7.4999999999999997E-3</v>
      </c>
      <c r="C21" s="3">
        <v>0.01</v>
      </c>
      <c r="D21" s="3">
        <v>1.2500000000000001E-2</v>
      </c>
      <c r="E21" s="3">
        <v>1.4999999999999999E-2</v>
      </c>
      <c r="F21" s="3">
        <v>1.7500000000000002E-2</v>
      </c>
    </row>
    <row r="22" spans="1:13" x14ac:dyDescent="0.25">
      <c r="A22" s="55" t="s">
        <v>58</v>
      </c>
      <c r="B22" s="3">
        <v>0.01</v>
      </c>
      <c r="C22" s="3">
        <v>1.2500000000000001E-2</v>
      </c>
      <c r="D22" s="3">
        <v>1.4999999999999999E-2</v>
      </c>
      <c r="E22" s="3">
        <v>1.7500000000000002E-2</v>
      </c>
      <c r="F22" s="3">
        <v>0.02</v>
      </c>
    </row>
    <row r="23" spans="1:13" x14ac:dyDescent="0.25">
      <c r="C23" s="18"/>
      <c r="D23" s="18"/>
      <c r="E23" s="18"/>
      <c r="J23" s="84"/>
      <c r="K23" s="84"/>
      <c r="L23" s="84"/>
      <c r="M23" s="84"/>
    </row>
    <row r="24" spans="1:13" x14ac:dyDescent="0.25">
      <c r="A24" s="204" t="s">
        <v>7</v>
      </c>
      <c r="B24" s="76" t="s">
        <v>53</v>
      </c>
      <c r="C24" s="76" t="s">
        <v>4</v>
      </c>
      <c r="D24" s="202" t="s">
        <v>5</v>
      </c>
      <c r="E24" s="206"/>
      <c r="F24" s="203"/>
      <c r="J24" s="1"/>
      <c r="K24" s="1"/>
      <c r="L24" s="1"/>
    </row>
    <row r="25" spans="1:13" x14ac:dyDescent="0.25">
      <c r="A25" s="205"/>
      <c r="B25" s="79" t="s">
        <v>60</v>
      </c>
      <c r="C25" s="79" t="s">
        <v>61</v>
      </c>
      <c r="D25" s="79" t="s">
        <v>176</v>
      </c>
      <c r="E25" s="79" t="s">
        <v>177</v>
      </c>
      <c r="F25" s="80">
        <v>2.0099999999999998</v>
      </c>
    </row>
    <row r="26" spans="1:13" x14ac:dyDescent="0.25">
      <c r="A26" s="55" t="s">
        <v>1</v>
      </c>
      <c r="B26" s="3">
        <v>2.5000000000000001E-3</v>
      </c>
      <c r="C26" s="3">
        <v>5.0000000000000001E-3</v>
      </c>
      <c r="D26" s="3">
        <v>6.0000000000000001E-3</v>
      </c>
      <c r="E26" s="3">
        <v>7.0000000000000001E-3</v>
      </c>
      <c r="F26" s="3">
        <v>7.4999999999999997E-3</v>
      </c>
    </row>
    <row r="27" spans="1:13" x14ac:dyDescent="0.25">
      <c r="A27" s="55" t="s">
        <v>57</v>
      </c>
      <c r="B27" s="3">
        <v>2.5000000000000001E-3</v>
      </c>
      <c r="C27" s="3">
        <v>5.0000000000000001E-3</v>
      </c>
      <c r="D27" s="3">
        <v>6.0000000000000001E-3</v>
      </c>
      <c r="E27" s="3">
        <v>7.0000000000000001E-3</v>
      </c>
      <c r="F27" s="3">
        <v>7.4999999999999997E-3</v>
      </c>
    </row>
    <row r="28" spans="1:13" x14ac:dyDescent="0.25">
      <c r="A28" s="55" t="s">
        <v>58</v>
      </c>
      <c r="B28" s="3">
        <v>5.0000000000000001E-3</v>
      </c>
      <c r="C28" s="3">
        <v>6.0000000000000001E-3</v>
      </c>
      <c r="D28" s="3">
        <v>7.4999999999999997E-3</v>
      </c>
      <c r="E28" s="3">
        <v>0.01</v>
      </c>
      <c r="F28" s="3">
        <v>1.4999999999999999E-2</v>
      </c>
      <c r="J28" s="1"/>
    </row>
    <row r="30" spans="1:13" x14ac:dyDescent="0.25">
      <c r="A30" s="204" t="s">
        <v>15</v>
      </c>
      <c r="B30" s="76" t="s">
        <v>53</v>
      </c>
      <c r="C30" s="76" t="s">
        <v>4</v>
      </c>
      <c r="D30" s="202" t="s">
        <v>5</v>
      </c>
      <c r="E30" s="206"/>
      <c r="F30" s="203"/>
      <c r="K30" s="1"/>
    </row>
    <row r="31" spans="1:13" x14ac:dyDescent="0.25">
      <c r="A31" s="205"/>
      <c r="B31" s="79" t="s">
        <v>60</v>
      </c>
      <c r="C31" s="79" t="s">
        <v>61</v>
      </c>
      <c r="D31" s="79" t="s">
        <v>176</v>
      </c>
      <c r="E31" s="79" t="s">
        <v>177</v>
      </c>
      <c r="F31" s="80">
        <v>2.0099999999999998</v>
      </c>
      <c r="K31" s="1"/>
    </row>
    <row r="32" spans="1:13" x14ac:dyDescent="0.25">
      <c r="A32" s="55" t="s">
        <v>1</v>
      </c>
      <c r="B32" s="93">
        <v>1.25E-3</v>
      </c>
      <c r="C32" s="3">
        <v>2.5000000000000001E-3</v>
      </c>
      <c r="D32" s="3">
        <v>4.0000000000000001E-3</v>
      </c>
      <c r="E32" s="3">
        <v>4.4999999999999997E-3</v>
      </c>
      <c r="F32" s="3">
        <v>5.0000000000000001E-3</v>
      </c>
      <c r="I32" s="81"/>
    </row>
    <row r="33" spans="1:11" x14ac:dyDescent="0.25">
      <c r="A33" s="55" t="s">
        <v>57</v>
      </c>
      <c r="B33" s="94">
        <v>1.25E-3</v>
      </c>
      <c r="C33" s="3">
        <v>2.5000000000000001E-3</v>
      </c>
      <c r="D33" s="3">
        <v>4.0000000000000001E-3</v>
      </c>
      <c r="E33" s="3">
        <v>4.4999999999999997E-3</v>
      </c>
      <c r="F33" s="3">
        <v>5.0000000000000001E-3</v>
      </c>
      <c r="I33" s="1"/>
    </row>
    <row r="34" spans="1:11" x14ac:dyDescent="0.25">
      <c r="A34" s="55" t="s">
        <v>58</v>
      </c>
      <c r="B34" s="3">
        <v>2.5000000000000001E-3</v>
      </c>
      <c r="C34" s="3">
        <v>4.0000000000000001E-3</v>
      </c>
      <c r="D34" s="3">
        <v>5.0000000000000001E-3</v>
      </c>
      <c r="E34" s="3">
        <v>6.0000000000000001E-3</v>
      </c>
      <c r="F34" s="3">
        <v>7.4999999999999997E-3</v>
      </c>
      <c r="H34" s="56"/>
      <c r="I34" s="59"/>
      <c r="J34" s="5"/>
    </row>
    <row r="35" spans="1:11" x14ac:dyDescent="0.25">
      <c r="B35" s="1"/>
      <c r="C35" s="1"/>
      <c r="D35" s="1"/>
      <c r="E35" s="1"/>
      <c r="F35" s="1"/>
      <c r="H35" s="38"/>
      <c r="I35" s="59"/>
      <c r="J35" s="5"/>
    </row>
    <row r="36" spans="1:11" x14ac:dyDescent="0.25">
      <c r="A36" s="54" t="s">
        <v>26</v>
      </c>
      <c r="B36" s="67"/>
      <c r="H36" s="56"/>
      <c r="I36" s="59"/>
      <c r="J36" s="5"/>
    </row>
    <row r="37" spans="1:11" x14ac:dyDescent="0.25">
      <c r="A37" s="60" t="s">
        <v>6</v>
      </c>
      <c r="B37" s="3">
        <v>0.02</v>
      </c>
      <c r="H37" s="35"/>
      <c r="I37" s="59"/>
      <c r="J37" s="5"/>
    </row>
    <row r="38" spans="1:11" x14ac:dyDescent="0.25">
      <c r="A38" s="60" t="s">
        <v>0</v>
      </c>
      <c r="B38" s="3">
        <v>1.4999999999999999E-2</v>
      </c>
      <c r="H38" s="35"/>
      <c r="I38" s="56"/>
      <c r="J38" s="5"/>
    </row>
    <row r="39" spans="1:11" x14ac:dyDescent="0.25">
      <c r="H39" s="35"/>
      <c r="I39" s="56"/>
      <c r="J39" s="5"/>
    </row>
    <row r="42" spans="1:11" ht="18.75" x14ac:dyDescent="0.3">
      <c r="A42" s="77"/>
      <c r="B42" s="35"/>
      <c r="C42" s="35"/>
      <c r="D42" s="35"/>
      <c r="E42" s="35"/>
      <c r="F42" s="35" t="s">
        <v>36</v>
      </c>
      <c r="G42" s="33"/>
      <c r="H42" s="24"/>
      <c r="I42" s="24"/>
      <c r="J42" s="24"/>
      <c r="K42" s="24"/>
    </row>
    <row r="43" spans="1:11" ht="18.75" x14ac:dyDescent="0.3">
      <c r="A43" s="77"/>
      <c r="B43" s="35"/>
      <c r="C43" s="35"/>
      <c r="D43" s="35"/>
      <c r="E43" s="35"/>
      <c r="F43" s="35"/>
      <c r="G43" s="24"/>
      <c r="H43" s="24"/>
      <c r="I43" s="24"/>
      <c r="J43" s="24"/>
      <c r="K43" s="24"/>
    </row>
    <row r="44" spans="1:11" ht="18.75" x14ac:dyDescent="0.3">
      <c r="A44" s="77"/>
      <c r="B44" s="35"/>
      <c r="C44" s="35"/>
      <c r="D44" s="35"/>
      <c r="E44" s="35"/>
      <c r="F44" s="35"/>
      <c r="G44" s="24"/>
      <c r="H44" s="24"/>
      <c r="I44" s="24"/>
      <c r="J44" s="24"/>
      <c r="K44" s="24"/>
    </row>
    <row r="45" spans="1:11" x14ac:dyDescent="0.25">
      <c r="A45" s="77" t="s">
        <v>31</v>
      </c>
      <c r="B45" s="5" t="s">
        <v>24</v>
      </c>
      <c r="C45" s="35"/>
      <c r="D45" s="35"/>
      <c r="E45" s="35"/>
      <c r="F45" s="35" t="s">
        <v>23</v>
      </c>
    </row>
    <row r="46" spans="1:11" ht="18.75" x14ac:dyDescent="0.3">
      <c r="A46" s="77"/>
      <c r="B46" s="35"/>
      <c r="C46" s="35"/>
      <c r="D46" s="35"/>
      <c r="E46" s="35"/>
      <c r="F46" s="35"/>
      <c r="H46" s="24"/>
      <c r="I46" s="24"/>
      <c r="J46" s="24"/>
      <c r="K46" s="24"/>
    </row>
    <row r="47" spans="1:11" x14ac:dyDescent="0.25">
      <c r="A47"/>
    </row>
    <row r="48" spans="1:1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</sheetData>
  <mergeCells count="8">
    <mergeCell ref="A30:A31"/>
    <mergeCell ref="D30:F30"/>
    <mergeCell ref="A12:A13"/>
    <mergeCell ref="D12:F12"/>
    <mergeCell ref="A18:A19"/>
    <mergeCell ref="D18:F18"/>
    <mergeCell ref="A24:A25"/>
    <mergeCell ref="D24:F24"/>
  </mergeCells>
  <pageMargins left="0.7" right="0.7" top="0.75" bottom="0.75" header="0.3" footer="0.3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4:I52"/>
  <sheetViews>
    <sheetView view="pageBreakPreview" topLeftCell="A26" zoomScaleNormal="100" zoomScaleSheetLayoutView="100" workbookViewId="0">
      <selection activeCell="E28" sqref="A28:E44"/>
    </sheetView>
  </sheetViews>
  <sheetFormatPr defaultRowHeight="15" x14ac:dyDescent="0.25"/>
  <cols>
    <col min="1" max="1" width="17.85546875" customWidth="1"/>
    <col min="2" max="2" width="9.85546875" customWidth="1"/>
    <col min="3" max="3" width="15.5703125" style="17" customWidth="1"/>
    <col min="4" max="4" width="14.42578125" customWidth="1"/>
    <col min="5" max="5" width="24.7109375" customWidth="1"/>
  </cols>
  <sheetData>
    <row r="4" spans="1:9" ht="22.5" x14ac:dyDescent="0.55000000000000004">
      <c r="A4" s="53" t="s">
        <v>48</v>
      </c>
      <c r="C4" s="74"/>
      <c r="D4" s="51"/>
      <c r="E4" s="50"/>
    </row>
    <row r="5" spans="1:9" x14ac:dyDescent="0.25">
      <c r="E5" s="35" t="s">
        <v>74</v>
      </c>
      <c r="H5" s="35"/>
      <c r="I5" s="35"/>
    </row>
    <row r="6" spans="1:9" ht="22.5" x14ac:dyDescent="0.55000000000000004">
      <c r="A6" s="207" t="s">
        <v>1</v>
      </c>
      <c r="C6" s="74"/>
      <c r="D6" s="51"/>
      <c r="E6" s="52" t="s">
        <v>111</v>
      </c>
      <c r="F6" s="50"/>
      <c r="G6" s="51"/>
      <c r="H6" s="50"/>
      <c r="I6" s="50"/>
    </row>
    <row r="7" spans="1:9" ht="22.5" x14ac:dyDescent="0.55000000000000004">
      <c r="A7" s="209"/>
      <c r="C7" s="74"/>
      <c r="D7" s="51"/>
      <c r="E7" s="52"/>
      <c r="F7" s="50"/>
      <c r="G7" s="51"/>
      <c r="H7" s="50"/>
      <c r="I7" s="50"/>
    </row>
    <row r="8" spans="1:9" x14ac:dyDescent="0.25">
      <c r="A8" s="5"/>
      <c r="B8" s="5"/>
      <c r="C8" s="72" t="s">
        <v>98</v>
      </c>
      <c r="D8" s="72" t="s">
        <v>95</v>
      </c>
      <c r="E8" s="72" t="s">
        <v>96</v>
      </c>
      <c r="F8" s="72" t="s">
        <v>97</v>
      </c>
      <c r="G8" s="1"/>
    </row>
    <row r="9" spans="1:9" x14ac:dyDescent="0.25">
      <c r="A9" s="107" t="s">
        <v>0</v>
      </c>
      <c r="B9" s="2" t="s">
        <v>1</v>
      </c>
      <c r="C9" s="21">
        <v>5.0000000000000001E-3</v>
      </c>
      <c r="D9" s="3">
        <v>0.01</v>
      </c>
      <c r="E9" s="3">
        <v>1.2500000000000001E-2</v>
      </c>
      <c r="F9" s="3">
        <v>1.7500000000000002E-2</v>
      </c>
      <c r="G9" s="1"/>
      <c r="H9" s="111"/>
    </row>
    <row r="10" spans="1:9" x14ac:dyDescent="0.25">
      <c r="A10" s="5"/>
      <c r="B10" s="5"/>
      <c r="C10" s="12"/>
      <c r="D10" s="5"/>
      <c r="E10" s="5"/>
      <c r="G10" s="1"/>
      <c r="H10" s="1"/>
    </row>
    <row r="11" spans="1:9" x14ac:dyDescent="0.25">
      <c r="A11" s="5"/>
      <c r="B11" s="5"/>
      <c r="C11" s="12"/>
      <c r="D11" s="5"/>
      <c r="E11" s="5"/>
    </row>
    <row r="12" spans="1:9" x14ac:dyDescent="0.25">
      <c r="A12" s="5"/>
      <c r="B12" s="5"/>
      <c r="C12" s="72" t="s">
        <v>98</v>
      </c>
      <c r="D12" s="72" t="s">
        <v>95</v>
      </c>
      <c r="E12" s="72" t="s">
        <v>96</v>
      </c>
      <c r="F12" s="72" t="s">
        <v>97</v>
      </c>
    </row>
    <row r="13" spans="1:9" x14ac:dyDescent="0.25">
      <c r="A13" s="54" t="s">
        <v>6</v>
      </c>
      <c r="B13" s="2" t="s">
        <v>1</v>
      </c>
      <c r="C13" s="21">
        <v>7.4999999999999997E-3</v>
      </c>
      <c r="D13" s="3">
        <v>1.4999999999999999E-2</v>
      </c>
      <c r="E13" s="3">
        <v>1.7500000000000002E-2</v>
      </c>
      <c r="F13" s="3">
        <v>2.2499999999999999E-2</v>
      </c>
    </row>
    <row r="14" spans="1:9" x14ac:dyDescent="0.25">
      <c r="A14" s="5"/>
      <c r="B14" s="5"/>
      <c r="C14" s="12"/>
      <c r="D14" s="5"/>
      <c r="E14" s="5"/>
    </row>
    <row r="15" spans="1:9" x14ac:dyDescent="0.25">
      <c r="A15" s="5"/>
      <c r="B15" s="5"/>
      <c r="C15" s="72" t="s">
        <v>3</v>
      </c>
      <c r="D15" s="72" t="s">
        <v>4</v>
      </c>
      <c r="E15" s="72" t="s">
        <v>5</v>
      </c>
    </row>
    <row r="16" spans="1:9" x14ac:dyDescent="0.25">
      <c r="A16" s="172" t="s">
        <v>26</v>
      </c>
      <c r="B16" s="2" t="s">
        <v>6</v>
      </c>
      <c r="C16" s="21">
        <v>0.01</v>
      </c>
      <c r="D16" s="3">
        <v>0.02</v>
      </c>
      <c r="E16" s="3"/>
    </row>
    <row r="17" spans="1:6" x14ac:dyDescent="0.25">
      <c r="A17" s="172"/>
      <c r="B17" s="2" t="s">
        <v>0</v>
      </c>
      <c r="C17" s="21">
        <v>0.01</v>
      </c>
      <c r="D17" s="3">
        <v>1.4999999999999999E-2</v>
      </c>
      <c r="E17" s="3"/>
    </row>
    <row r="18" spans="1:6" x14ac:dyDescent="0.25">
      <c r="A18" s="5"/>
      <c r="B18" s="5"/>
      <c r="C18" s="12"/>
      <c r="D18" s="5"/>
      <c r="E18" s="5"/>
    </row>
    <row r="19" spans="1:6" x14ac:dyDescent="0.25">
      <c r="A19" s="5"/>
      <c r="B19" s="5"/>
      <c r="C19" s="12"/>
      <c r="D19" s="5"/>
      <c r="E19" s="5"/>
    </row>
    <row r="20" spans="1:6" x14ac:dyDescent="0.25">
      <c r="A20" s="5"/>
      <c r="B20" s="5"/>
      <c r="C20" s="72" t="s">
        <v>98</v>
      </c>
      <c r="D20" s="72" t="s">
        <v>95</v>
      </c>
      <c r="E20" s="72" t="s">
        <v>96</v>
      </c>
      <c r="F20" s="72" t="s">
        <v>97</v>
      </c>
    </row>
    <row r="21" spans="1:6" x14ac:dyDescent="0.25">
      <c r="A21" s="108" t="s">
        <v>7</v>
      </c>
      <c r="B21" s="2" t="s">
        <v>1</v>
      </c>
      <c r="C21" s="21">
        <v>2.5000000000000001E-3</v>
      </c>
      <c r="D21" s="3">
        <v>5.0000000000000001E-3</v>
      </c>
      <c r="E21" s="3">
        <v>7.4999999999999997E-3</v>
      </c>
      <c r="F21" s="3">
        <v>0.01</v>
      </c>
    </row>
    <row r="23" spans="1:6" x14ac:dyDescent="0.25">
      <c r="B23" s="5"/>
      <c r="C23" s="72" t="s">
        <v>98</v>
      </c>
      <c r="D23" s="72" t="s">
        <v>95</v>
      </c>
      <c r="E23" s="72" t="s">
        <v>96</v>
      </c>
      <c r="F23" s="72" t="s">
        <v>97</v>
      </c>
    </row>
    <row r="24" spans="1:6" x14ac:dyDescent="0.25">
      <c r="A24" s="109" t="s">
        <v>15</v>
      </c>
      <c r="B24" s="2" t="s">
        <v>1</v>
      </c>
      <c r="C24" s="110">
        <v>1.25E-3</v>
      </c>
      <c r="D24" s="3">
        <v>2.5000000000000001E-3</v>
      </c>
      <c r="E24" s="3">
        <v>5.0000000000000001E-3</v>
      </c>
      <c r="F24" s="3">
        <v>5.0000000000000001E-3</v>
      </c>
    </row>
    <row r="26" spans="1:6" x14ac:dyDescent="0.25">
      <c r="A26" s="207" t="s">
        <v>99</v>
      </c>
    </row>
    <row r="27" spans="1:6" x14ac:dyDescent="0.25">
      <c r="A27" s="208"/>
    </row>
    <row r="28" spans="1:6" x14ac:dyDescent="0.25">
      <c r="A28" s="5"/>
      <c r="B28" s="5"/>
      <c r="C28" s="72" t="s">
        <v>3</v>
      </c>
      <c r="D28" s="72" t="s">
        <v>4</v>
      </c>
      <c r="E28" s="72" t="s">
        <v>5</v>
      </c>
    </row>
    <row r="29" spans="1:6" x14ac:dyDescent="0.25">
      <c r="A29" s="112" t="s">
        <v>0</v>
      </c>
      <c r="B29" s="2" t="s">
        <v>2</v>
      </c>
      <c r="C29" s="21">
        <v>1.4999999999999999E-2</v>
      </c>
      <c r="D29" s="3">
        <v>2.5000000000000001E-2</v>
      </c>
      <c r="E29" s="3">
        <v>0.03</v>
      </c>
    </row>
    <row r="30" spans="1:6" x14ac:dyDescent="0.25">
      <c r="A30" s="5"/>
      <c r="B30" s="5"/>
      <c r="C30" s="12"/>
      <c r="D30" s="5"/>
      <c r="E30" s="5"/>
    </row>
    <row r="31" spans="1:6" x14ac:dyDescent="0.25">
      <c r="A31" s="5"/>
      <c r="B31" s="5"/>
      <c r="C31" s="12"/>
      <c r="D31" s="5"/>
      <c r="E31" s="5"/>
    </row>
    <row r="32" spans="1:6" x14ac:dyDescent="0.25">
      <c r="A32" s="5"/>
      <c r="B32" s="5"/>
      <c r="C32" s="72" t="s">
        <v>3</v>
      </c>
      <c r="D32" s="72" t="s">
        <v>4</v>
      </c>
      <c r="E32" s="72" t="s">
        <v>5</v>
      </c>
    </row>
    <row r="33" spans="1:5" x14ac:dyDescent="0.25">
      <c r="A33" s="54" t="s">
        <v>6</v>
      </c>
      <c r="B33" s="2" t="s">
        <v>2</v>
      </c>
      <c r="C33" s="21">
        <v>0.02</v>
      </c>
      <c r="D33" s="3">
        <v>0.03</v>
      </c>
      <c r="E33" s="3">
        <v>3.5000000000000003E-2</v>
      </c>
    </row>
    <row r="34" spans="1:5" x14ac:dyDescent="0.25">
      <c r="A34" s="5"/>
      <c r="B34" s="5"/>
      <c r="C34" s="12"/>
      <c r="D34" s="5"/>
      <c r="E34" s="5"/>
    </row>
    <row r="35" spans="1:5" x14ac:dyDescent="0.25">
      <c r="A35" s="5"/>
      <c r="B35" s="5"/>
      <c r="C35" s="72" t="s">
        <v>3</v>
      </c>
      <c r="D35" s="72" t="s">
        <v>4</v>
      </c>
      <c r="E35" s="72" t="s">
        <v>5</v>
      </c>
    </row>
    <row r="36" spans="1:5" x14ac:dyDescent="0.25">
      <c r="A36" s="172" t="s">
        <v>26</v>
      </c>
      <c r="B36" s="2" t="s">
        <v>6</v>
      </c>
      <c r="C36" s="21">
        <v>0.02</v>
      </c>
      <c r="D36" s="3">
        <v>0.02</v>
      </c>
      <c r="E36" s="3">
        <v>0.02</v>
      </c>
    </row>
    <row r="37" spans="1:5" x14ac:dyDescent="0.25">
      <c r="A37" s="172"/>
      <c r="B37" s="2" t="s">
        <v>0</v>
      </c>
      <c r="C37" s="21">
        <v>1.4999999999999999E-2</v>
      </c>
      <c r="D37" s="3">
        <v>1.4999999999999999E-2</v>
      </c>
      <c r="E37" s="3">
        <v>1.4999999999999999E-2</v>
      </c>
    </row>
    <row r="38" spans="1:5" x14ac:dyDescent="0.25">
      <c r="A38" s="5"/>
      <c r="B38" s="5"/>
      <c r="C38" s="12"/>
      <c r="D38" s="5"/>
      <c r="E38" s="5"/>
    </row>
    <row r="39" spans="1:5" x14ac:dyDescent="0.25">
      <c r="A39" s="5"/>
      <c r="B39" s="5"/>
      <c r="C39" s="12"/>
      <c r="D39" s="5"/>
      <c r="E39" s="5"/>
    </row>
    <row r="40" spans="1:5" x14ac:dyDescent="0.25">
      <c r="A40" s="5"/>
      <c r="B40" s="5"/>
      <c r="C40" s="72" t="s">
        <v>3</v>
      </c>
      <c r="D40" s="72" t="s">
        <v>4</v>
      </c>
      <c r="E40" s="72" t="s">
        <v>5</v>
      </c>
    </row>
    <row r="41" spans="1:5" x14ac:dyDescent="0.25">
      <c r="A41" s="108" t="s">
        <v>7</v>
      </c>
      <c r="B41" s="2" t="s">
        <v>2</v>
      </c>
      <c r="C41" s="21">
        <v>7.4999999999999997E-3</v>
      </c>
      <c r="D41" s="3">
        <v>0.01</v>
      </c>
      <c r="E41" s="3">
        <v>1.2500000000000001E-2</v>
      </c>
    </row>
    <row r="43" spans="1:5" x14ac:dyDescent="0.25">
      <c r="B43" s="5"/>
      <c r="C43" s="72" t="s">
        <v>3</v>
      </c>
      <c r="D43" s="72" t="s">
        <v>4</v>
      </c>
      <c r="E43" s="72" t="s">
        <v>5</v>
      </c>
    </row>
    <row r="44" spans="1:5" x14ac:dyDescent="0.25">
      <c r="A44" s="109" t="s">
        <v>15</v>
      </c>
      <c r="B44" s="2" t="s">
        <v>2</v>
      </c>
      <c r="C44" s="21">
        <v>2.5000000000000001E-3</v>
      </c>
      <c r="D44" s="3">
        <v>5.0000000000000001E-3</v>
      </c>
      <c r="E44" s="3"/>
    </row>
    <row r="46" spans="1:5" x14ac:dyDescent="0.25">
      <c r="A46" s="35"/>
      <c r="B46" s="35"/>
      <c r="C46" s="39"/>
      <c r="D46" s="35"/>
      <c r="E46" s="35" t="s">
        <v>36</v>
      </c>
    </row>
    <row r="47" spans="1:5" x14ac:dyDescent="0.25">
      <c r="A47" s="35"/>
      <c r="B47" s="35"/>
      <c r="C47" s="39"/>
      <c r="D47" s="35"/>
      <c r="E47" s="35"/>
    </row>
    <row r="48" spans="1:5" x14ac:dyDescent="0.25">
      <c r="A48" s="35"/>
      <c r="B48" s="35"/>
      <c r="C48" s="39"/>
      <c r="D48" s="35"/>
      <c r="E48" s="35"/>
    </row>
    <row r="49" spans="1:5" x14ac:dyDescent="0.25">
      <c r="A49" s="35"/>
      <c r="B49" s="164" t="s">
        <v>37</v>
      </c>
      <c r="C49" s="164"/>
      <c r="D49" s="35"/>
      <c r="E49" s="35"/>
    </row>
    <row r="50" spans="1:5" x14ac:dyDescent="0.25">
      <c r="A50" s="35"/>
      <c r="B50" s="35"/>
      <c r="C50" s="39"/>
      <c r="D50" s="35"/>
      <c r="E50" s="35"/>
    </row>
    <row r="51" spans="1:5" x14ac:dyDescent="0.25">
      <c r="A51" s="35"/>
      <c r="B51" s="35"/>
      <c r="C51" s="39"/>
      <c r="D51" s="35"/>
      <c r="E51" s="35"/>
    </row>
    <row r="52" spans="1:5" x14ac:dyDescent="0.25">
      <c r="A52" s="35" t="s">
        <v>31</v>
      </c>
      <c r="B52" s="35"/>
      <c r="C52" s="39" t="s">
        <v>24</v>
      </c>
      <c r="D52" s="35"/>
      <c r="E52" s="35" t="s">
        <v>23</v>
      </c>
    </row>
  </sheetData>
  <mergeCells count="5">
    <mergeCell ref="A26:A27"/>
    <mergeCell ref="A16:A17"/>
    <mergeCell ref="A6:A7"/>
    <mergeCell ref="B49:C49"/>
    <mergeCell ref="A36:A37"/>
  </mergeCells>
  <pageMargins left="0.7" right="0.7" top="0.62" bottom="0.47" header="0.3" footer="0.3"/>
  <pageSetup paperSize="9" scale="9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A317-7ECE-494C-91B3-1BF457F89415}">
  <sheetPr codeName="Sheet11"/>
  <dimension ref="B1:J43"/>
  <sheetViews>
    <sheetView showGridLines="0" view="pageBreakPreview" zoomScaleNormal="100" zoomScaleSheetLayoutView="100" workbookViewId="0">
      <selection activeCell="N22" sqref="N22"/>
    </sheetView>
  </sheetViews>
  <sheetFormatPr defaultColWidth="9.140625" defaultRowHeight="15" x14ac:dyDescent="0.25"/>
  <cols>
    <col min="1" max="1" width="3.85546875" style="35" customWidth="1"/>
    <col min="2" max="2" width="16.42578125" style="35" customWidth="1"/>
    <col min="3" max="3" width="20.85546875" style="35" customWidth="1"/>
    <col min="4" max="4" width="19.28515625" style="57" customWidth="1"/>
    <col min="5" max="5" width="17.28515625" style="57" customWidth="1"/>
    <col min="6" max="6" width="16.140625" style="57" customWidth="1"/>
    <col min="7" max="7" width="8.140625" style="35" customWidth="1"/>
    <col min="8" max="8" width="8.85546875" style="59" bestFit="1" customWidth="1"/>
    <col min="9" max="9" width="11.28515625" style="5" bestFit="1" customWidth="1"/>
    <col min="10" max="10" width="8.140625" style="5" customWidth="1"/>
    <col min="11" max="14" width="8.140625" style="35" customWidth="1"/>
    <col min="15" max="16384" width="9.140625" style="35"/>
  </cols>
  <sheetData>
    <row r="1" spans="2:10" ht="25.15" customHeight="1" x14ac:dyDescent="0.25">
      <c r="B1" s="39"/>
    </row>
    <row r="2" spans="2:10" ht="25.15" customHeight="1" x14ac:dyDescent="0.25"/>
    <row r="3" spans="2:10" ht="25.15" customHeight="1" x14ac:dyDescent="0.25"/>
    <row r="4" spans="2:10" ht="34.9" customHeight="1" x14ac:dyDescent="0.25">
      <c r="B4" s="25" t="s">
        <v>67</v>
      </c>
      <c r="I4" s="64"/>
    </row>
    <row r="5" spans="2:10" x14ac:dyDescent="0.25">
      <c r="B5" s="12"/>
      <c r="F5" s="57" t="s">
        <v>74</v>
      </c>
    </row>
    <row r="6" spans="2:10" x14ac:dyDescent="0.25">
      <c r="B6" s="12"/>
      <c r="F6" s="57" t="s">
        <v>68</v>
      </c>
    </row>
    <row r="7" spans="2:10" ht="15.75" thickBot="1" x14ac:dyDescent="0.3">
      <c r="B7" s="12"/>
      <c r="H7" s="35"/>
      <c r="I7" s="35"/>
      <c r="J7" s="35"/>
    </row>
    <row r="8" spans="2:10" ht="18" thickBot="1" x14ac:dyDescent="0.35">
      <c r="B8" s="12"/>
      <c r="C8" s="5"/>
      <c r="D8" s="63" t="s">
        <v>53</v>
      </c>
      <c r="E8" s="63" t="s">
        <v>4</v>
      </c>
      <c r="F8" s="63" t="s">
        <v>5</v>
      </c>
      <c r="H8" s="35"/>
      <c r="I8" s="35"/>
      <c r="J8" s="35"/>
    </row>
    <row r="9" spans="2:10" ht="15.75" thickBot="1" x14ac:dyDescent="0.3">
      <c r="B9" s="210" t="s">
        <v>0</v>
      </c>
      <c r="C9" s="61" t="s">
        <v>71</v>
      </c>
      <c r="D9" s="62">
        <v>7.4999999999999997E-3</v>
      </c>
      <c r="E9" s="62">
        <v>1.2500000000000001E-2</v>
      </c>
      <c r="F9" s="62"/>
      <c r="H9" s="35"/>
      <c r="I9" s="35"/>
      <c r="J9" s="35"/>
    </row>
    <row r="10" spans="2:10" ht="15.75" thickBot="1" x14ac:dyDescent="0.3">
      <c r="B10" s="211"/>
      <c r="C10" s="61" t="s">
        <v>72</v>
      </c>
      <c r="D10" s="62">
        <v>0.01</v>
      </c>
      <c r="E10" s="62">
        <v>1.4999999999999999E-2</v>
      </c>
      <c r="F10" s="62"/>
      <c r="H10" s="35"/>
      <c r="I10" s="35"/>
      <c r="J10" s="35"/>
    </row>
    <row r="11" spans="2:10" ht="15.75" thickBot="1" x14ac:dyDescent="0.3">
      <c r="B11" s="212"/>
      <c r="C11" s="61" t="s">
        <v>73</v>
      </c>
      <c r="D11" s="62">
        <v>1.4999999999999999E-2</v>
      </c>
      <c r="E11" s="62">
        <v>2.5000000000000001E-2</v>
      </c>
      <c r="F11" s="62"/>
      <c r="H11" s="35"/>
      <c r="I11" s="35"/>
      <c r="J11" s="35"/>
    </row>
    <row r="12" spans="2:10" ht="15.75" thickBot="1" x14ac:dyDescent="0.3">
      <c r="B12" s="12"/>
      <c r="C12" s="5"/>
      <c r="D12" s="58"/>
      <c r="E12" s="58"/>
      <c r="F12" s="58"/>
      <c r="H12" s="35"/>
      <c r="I12" s="35"/>
      <c r="J12" s="35"/>
    </row>
    <row r="13" spans="2:10" ht="18" thickBot="1" x14ac:dyDescent="0.35">
      <c r="B13" s="12"/>
      <c r="C13" s="5"/>
      <c r="D13" s="63" t="s">
        <v>53</v>
      </c>
      <c r="E13" s="63" t="s">
        <v>4</v>
      </c>
      <c r="F13" s="63" t="s">
        <v>5</v>
      </c>
      <c r="H13" s="35"/>
      <c r="I13" s="35"/>
      <c r="J13" s="35"/>
    </row>
    <row r="14" spans="2:10" ht="15.75" thickBot="1" x14ac:dyDescent="0.3">
      <c r="B14" s="210" t="s">
        <v>6</v>
      </c>
      <c r="C14" s="61" t="s">
        <v>71</v>
      </c>
      <c r="D14" s="62">
        <v>1.2500000000000001E-2</v>
      </c>
      <c r="E14" s="62">
        <v>1.7500000000000002E-2</v>
      </c>
      <c r="F14" s="62"/>
      <c r="H14" s="35"/>
      <c r="I14" s="35"/>
      <c r="J14" s="35"/>
    </row>
    <row r="15" spans="2:10" ht="15.75" thickBot="1" x14ac:dyDescent="0.3">
      <c r="B15" s="211"/>
      <c r="C15" s="61" t="s">
        <v>72</v>
      </c>
      <c r="D15" s="62">
        <v>1.4999999999999999E-2</v>
      </c>
      <c r="E15" s="62">
        <v>2.2499999999999999E-2</v>
      </c>
      <c r="F15" s="62"/>
      <c r="H15" s="35"/>
      <c r="I15" s="35"/>
      <c r="J15" s="35"/>
    </row>
    <row r="16" spans="2:10" ht="15.75" thickBot="1" x14ac:dyDescent="0.3">
      <c r="B16" s="212"/>
      <c r="C16" s="61" t="s">
        <v>73</v>
      </c>
      <c r="D16" s="62">
        <v>0.02</v>
      </c>
      <c r="E16" s="62">
        <v>3.5000000000000003E-2</v>
      </c>
      <c r="F16" s="62"/>
      <c r="H16" s="35"/>
      <c r="I16" s="35"/>
      <c r="J16" s="35"/>
    </row>
    <row r="17" spans="2:10" x14ac:dyDescent="0.25">
      <c r="B17" s="12"/>
      <c r="C17" s="5"/>
      <c r="D17" s="58"/>
      <c r="E17" s="58"/>
      <c r="F17" s="58"/>
      <c r="H17" s="35"/>
      <c r="I17" s="35"/>
      <c r="J17" s="35"/>
    </row>
    <row r="18" spans="2:10" ht="18" hidden="1" thickBot="1" x14ac:dyDescent="0.35">
      <c r="B18" s="12"/>
      <c r="C18" s="5"/>
      <c r="D18" s="63" t="s">
        <v>53</v>
      </c>
      <c r="E18" s="63" t="s">
        <v>4</v>
      </c>
      <c r="F18" s="63" t="s">
        <v>5</v>
      </c>
      <c r="H18" s="35"/>
      <c r="I18" s="35"/>
      <c r="J18" s="35"/>
    </row>
    <row r="19" spans="2:10" ht="15.75" hidden="1" thickBot="1" x14ac:dyDescent="0.3">
      <c r="B19" s="171" t="s">
        <v>26</v>
      </c>
      <c r="C19" s="61" t="s">
        <v>6</v>
      </c>
      <c r="D19" s="62">
        <v>0.02</v>
      </c>
      <c r="E19" s="62">
        <v>0.02</v>
      </c>
      <c r="F19" s="62"/>
      <c r="H19" s="35"/>
      <c r="I19" s="35"/>
      <c r="J19" s="35"/>
    </row>
    <row r="20" spans="2:10" ht="15.75" hidden="1" thickBot="1" x14ac:dyDescent="0.3">
      <c r="B20" s="171"/>
      <c r="C20" s="61" t="s">
        <v>0</v>
      </c>
      <c r="D20" s="62">
        <v>1.4999999999999999E-2</v>
      </c>
      <c r="E20" s="62">
        <v>1.4999999999999999E-2</v>
      </c>
      <c r="F20" s="62"/>
      <c r="H20" s="35"/>
      <c r="I20" s="35"/>
      <c r="J20" s="35"/>
    </row>
    <row r="21" spans="2:10" ht="15.75" thickBot="1" x14ac:dyDescent="0.3">
      <c r="B21" s="12"/>
      <c r="C21" s="5"/>
      <c r="D21" s="58"/>
      <c r="E21" s="58"/>
      <c r="F21" s="58"/>
      <c r="H21" s="35"/>
      <c r="I21" s="35"/>
      <c r="J21" s="35"/>
    </row>
    <row r="22" spans="2:10" ht="18" thickBot="1" x14ac:dyDescent="0.35">
      <c r="B22" s="12"/>
      <c r="C22" s="5"/>
      <c r="D22" s="63" t="s">
        <v>53</v>
      </c>
      <c r="E22" s="63" t="s">
        <v>4</v>
      </c>
      <c r="F22" s="63" t="s">
        <v>5</v>
      </c>
      <c r="H22" s="35"/>
      <c r="I22" s="35"/>
      <c r="J22" s="35"/>
    </row>
    <row r="23" spans="2:10" ht="15.75" thickBot="1" x14ac:dyDescent="0.3">
      <c r="B23" s="210" t="s">
        <v>7</v>
      </c>
      <c r="C23" s="61" t="s">
        <v>71</v>
      </c>
      <c r="D23" s="62">
        <v>2.5000000000000001E-3</v>
      </c>
      <c r="E23" s="62">
        <v>5.0000000000000001E-3</v>
      </c>
      <c r="F23" s="62"/>
      <c r="H23" s="35"/>
      <c r="I23" s="35"/>
      <c r="J23" s="35"/>
    </row>
    <row r="24" spans="2:10" ht="15.75" thickBot="1" x14ac:dyDescent="0.3">
      <c r="B24" s="211"/>
      <c r="C24" s="61" t="s">
        <v>72</v>
      </c>
      <c r="D24" s="62">
        <v>5.0000000000000001E-3</v>
      </c>
      <c r="E24" s="62">
        <v>7.4999999999999997E-3</v>
      </c>
      <c r="F24" s="62"/>
      <c r="H24" s="35"/>
      <c r="I24" s="35"/>
      <c r="J24" s="35"/>
    </row>
    <row r="25" spans="2:10" ht="15.75" thickBot="1" x14ac:dyDescent="0.3">
      <c r="B25" s="212"/>
      <c r="C25" s="61" t="s">
        <v>73</v>
      </c>
      <c r="D25" s="62">
        <v>7.4999999999999997E-3</v>
      </c>
      <c r="E25" s="62">
        <v>1.2500000000000001E-2</v>
      </c>
      <c r="F25" s="62"/>
      <c r="H25" s="35"/>
      <c r="I25" s="35"/>
      <c r="J25" s="35"/>
    </row>
    <row r="26" spans="2:10" ht="15.75" thickBot="1" x14ac:dyDescent="0.3">
      <c r="B26" s="82"/>
      <c r="C26" s="5"/>
      <c r="D26" s="83"/>
      <c r="E26" s="83"/>
      <c r="F26" s="83"/>
      <c r="H26" s="35"/>
      <c r="I26" s="35"/>
      <c r="J26" s="35"/>
    </row>
    <row r="27" spans="2:10" ht="18" thickBot="1" x14ac:dyDescent="0.35">
      <c r="B27" s="12"/>
      <c r="C27" s="5"/>
      <c r="D27" s="63" t="s">
        <v>53</v>
      </c>
      <c r="E27" s="63" t="s">
        <v>4</v>
      </c>
      <c r="F27" s="63" t="s">
        <v>5</v>
      </c>
      <c r="H27" s="35"/>
      <c r="I27" s="35"/>
      <c r="J27" s="35"/>
    </row>
    <row r="28" spans="2:10" ht="15.75" thickBot="1" x14ac:dyDescent="0.3">
      <c r="B28" s="210" t="s">
        <v>64</v>
      </c>
      <c r="C28" s="61" t="s">
        <v>71</v>
      </c>
      <c r="D28" s="96">
        <v>1.25E-3</v>
      </c>
      <c r="E28" s="62">
        <v>2.5000000000000001E-3</v>
      </c>
      <c r="F28" s="62"/>
      <c r="H28" s="35"/>
      <c r="I28" s="35"/>
      <c r="J28" s="35"/>
    </row>
    <row r="29" spans="2:10" ht="15.75" thickBot="1" x14ac:dyDescent="0.3">
      <c r="B29" s="211"/>
      <c r="C29" s="61" t="s">
        <v>72</v>
      </c>
      <c r="D29" s="62">
        <v>2.5000000000000001E-3</v>
      </c>
      <c r="E29" s="62">
        <v>5.0000000000000001E-3</v>
      </c>
      <c r="F29" s="62"/>
      <c r="H29" s="35"/>
      <c r="I29" s="35"/>
      <c r="J29" s="35"/>
    </row>
    <row r="30" spans="2:10" ht="15.75" thickBot="1" x14ac:dyDescent="0.3">
      <c r="B30" s="212"/>
      <c r="C30" s="61" t="s">
        <v>73</v>
      </c>
      <c r="D30" s="62">
        <v>5.0000000000000001E-3</v>
      </c>
      <c r="E30" s="62">
        <v>7.4999999999999997E-3</v>
      </c>
      <c r="F30" s="62"/>
      <c r="H30" s="35"/>
      <c r="I30" s="35"/>
      <c r="J30" s="35"/>
    </row>
    <row r="31" spans="2:10" x14ac:dyDescent="0.25">
      <c r="B31" s="82"/>
      <c r="C31" s="5"/>
      <c r="D31" s="95"/>
      <c r="E31" s="95"/>
      <c r="F31" s="83"/>
      <c r="H31" s="35"/>
      <c r="I31" s="35"/>
      <c r="J31" s="35"/>
    </row>
    <row r="32" spans="2:10" x14ac:dyDescent="0.25">
      <c r="B32" s="82"/>
      <c r="C32" s="5"/>
      <c r="D32" s="95"/>
      <c r="E32" s="95"/>
      <c r="F32" s="83"/>
      <c r="H32" s="35"/>
      <c r="I32" s="35"/>
      <c r="J32" s="35"/>
    </row>
    <row r="33" spans="2:10" x14ac:dyDescent="0.25">
      <c r="B33" s="82"/>
      <c r="C33" s="5"/>
      <c r="D33" s="95"/>
      <c r="E33" s="95"/>
      <c r="F33" s="83"/>
      <c r="H33" s="35"/>
      <c r="I33" s="35"/>
      <c r="J33" s="35"/>
    </row>
    <row r="34" spans="2:10" x14ac:dyDescent="0.25">
      <c r="F34" s="57" t="s">
        <v>36</v>
      </c>
      <c r="H34" s="35"/>
      <c r="I34" s="35"/>
      <c r="J34" s="35"/>
    </row>
    <row r="35" spans="2:10" x14ac:dyDescent="0.25">
      <c r="H35" s="35"/>
      <c r="I35" s="35"/>
      <c r="J35" s="35"/>
    </row>
    <row r="36" spans="2:10" x14ac:dyDescent="0.25">
      <c r="H36" s="35"/>
      <c r="I36" s="35"/>
      <c r="J36" s="35"/>
    </row>
    <row r="37" spans="2:10" x14ac:dyDescent="0.25">
      <c r="H37" s="35"/>
      <c r="I37" s="35"/>
      <c r="J37" s="35"/>
    </row>
    <row r="38" spans="2:10" x14ac:dyDescent="0.25">
      <c r="B38" s="164" t="s">
        <v>37</v>
      </c>
      <c r="C38" s="164"/>
      <c r="H38" s="35"/>
      <c r="I38" s="35"/>
      <c r="J38" s="35"/>
    </row>
    <row r="39" spans="2:10" x14ac:dyDescent="0.25">
      <c r="H39" s="35"/>
      <c r="I39" s="35"/>
      <c r="J39" s="35"/>
    </row>
    <row r="40" spans="2:10" x14ac:dyDescent="0.25">
      <c r="H40" s="35"/>
      <c r="I40" s="35"/>
      <c r="J40" s="35"/>
    </row>
    <row r="41" spans="2:10" x14ac:dyDescent="0.25">
      <c r="H41" s="35"/>
      <c r="I41" s="35"/>
      <c r="J41" s="35"/>
    </row>
    <row r="42" spans="2:10" x14ac:dyDescent="0.25">
      <c r="B42" s="35" t="s">
        <v>31</v>
      </c>
      <c r="D42" s="57" t="s">
        <v>24</v>
      </c>
      <c r="F42" s="57" t="s">
        <v>23</v>
      </c>
      <c r="H42" s="35"/>
      <c r="I42" s="35"/>
      <c r="J42" s="35"/>
    </row>
    <row r="43" spans="2:10" x14ac:dyDescent="0.25">
      <c r="H43" s="35"/>
      <c r="I43" s="35"/>
      <c r="J43" s="35"/>
    </row>
  </sheetData>
  <mergeCells count="6">
    <mergeCell ref="B38:C38"/>
    <mergeCell ref="B19:B20"/>
    <mergeCell ref="B9:B11"/>
    <mergeCell ref="B28:B30"/>
    <mergeCell ref="B23:B25"/>
    <mergeCell ref="B14:B16"/>
  </mergeCells>
  <pageMargins left="0.6" right="0.7" top="0.79" bottom="0.75" header="0.3" footer="0.3"/>
  <pageSetup paperSize="9" scale="8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4BC1-F10E-47C3-A20E-05338FD19623}">
  <sheetPr codeName="Sheet12"/>
  <dimension ref="B1:J37"/>
  <sheetViews>
    <sheetView showGridLines="0" view="pageBreakPreview" zoomScaleNormal="100" zoomScaleSheetLayoutView="100" workbookViewId="0">
      <selection activeCell="J20" sqref="J20"/>
    </sheetView>
  </sheetViews>
  <sheetFormatPr defaultColWidth="9.140625" defaultRowHeight="15" x14ac:dyDescent="0.25"/>
  <cols>
    <col min="1" max="1" width="3.85546875" style="35" customWidth="1"/>
    <col min="2" max="2" width="16.42578125" style="35" customWidth="1"/>
    <col min="3" max="3" width="20.85546875" style="35" customWidth="1"/>
    <col min="4" max="4" width="19.28515625" style="57" customWidth="1"/>
    <col min="5" max="5" width="17.28515625" style="57" customWidth="1"/>
    <col min="6" max="6" width="16.140625" style="57" customWidth="1"/>
    <col min="7" max="7" width="8.140625" style="35" customWidth="1"/>
    <col min="8" max="8" width="8.85546875" style="59" bestFit="1" customWidth="1"/>
    <col min="9" max="9" width="11.28515625" style="5" bestFit="1" customWidth="1"/>
    <col min="10" max="10" width="8.140625" style="5" customWidth="1"/>
    <col min="11" max="14" width="8.140625" style="35" customWidth="1"/>
    <col min="15" max="16384" width="9.140625" style="35"/>
  </cols>
  <sheetData>
    <row r="1" spans="2:10" ht="25.15" customHeight="1" x14ac:dyDescent="0.25">
      <c r="B1" s="39"/>
    </row>
    <row r="2" spans="2:10" ht="25.15" customHeight="1" x14ac:dyDescent="0.25"/>
    <row r="3" spans="2:10" ht="25.15" customHeight="1" x14ac:dyDescent="0.25"/>
    <row r="4" spans="2:10" ht="34.9" customHeight="1" x14ac:dyDescent="0.25">
      <c r="B4" s="25" t="s">
        <v>69</v>
      </c>
      <c r="H4" s="35"/>
      <c r="I4" s="35"/>
      <c r="J4" s="35"/>
    </row>
    <row r="5" spans="2:10" x14ac:dyDescent="0.25">
      <c r="B5" s="12"/>
      <c r="F5" s="57" t="s">
        <v>74</v>
      </c>
      <c r="H5" s="35"/>
      <c r="I5" s="35"/>
      <c r="J5" s="35"/>
    </row>
    <row r="6" spans="2:10" x14ac:dyDescent="0.25">
      <c r="B6" s="12"/>
      <c r="F6" s="57" t="s">
        <v>70</v>
      </c>
      <c r="H6" s="35"/>
      <c r="I6" s="35"/>
      <c r="J6" s="35"/>
    </row>
    <row r="7" spans="2:10" ht="15.75" thickBot="1" x14ac:dyDescent="0.3">
      <c r="B7" s="12"/>
      <c r="H7" s="35"/>
      <c r="I7" s="35"/>
      <c r="J7" s="35"/>
    </row>
    <row r="8" spans="2:10" ht="18" thickBot="1" x14ac:dyDescent="0.35">
      <c r="B8" s="12"/>
      <c r="C8" s="5"/>
      <c r="D8" s="63" t="s">
        <v>53</v>
      </c>
      <c r="E8" s="63" t="s">
        <v>4</v>
      </c>
      <c r="F8" s="63" t="s">
        <v>5</v>
      </c>
      <c r="H8" s="35"/>
      <c r="I8" s="35"/>
      <c r="J8" s="35"/>
    </row>
    <row r="9" spans="2:10" ht="15.75" thickBot="1" x14ac:dyDescent="0.3">
      <c r="B9" s="210" t="s">
        <v>0</v>
      </c>
      <c r="C9" s="61" t="s">
        <v>71</v>
      </c>
      <c r="D9" s="62">
        <v>7.4999999999999997E-3</v>
      </c>
      <c r="E9" s="62">
        <v>1.2500000000000001E-2</v>
      </c>
      <c r="F9" s="62"/>
      <c r="H9" s="35"/>
      <c r="I9" s="35"/>
      <c r="J9" s="35"/>
    </row>
    <row r="10" spans="2:10" ht="15.75" thickBot="1" x14ac:dyDescent="0.3">
      <c r="B10" s="211"/>
      <c r="C10" s="61" t="s">
        <v>72</v>
      </c>
      <c r="D10" s="62">
        <v>0.01</v>
      </c>
      <c r="E10" s="62">
        <v>1.4999999999999999E-2</v>
      </c>
      <c r="F10" s="62"/>
      <c r="H10" s="35"/>
      <c r="I10" s="35"/>
      <c r="J10" s="35"/>
    </row>
    <row r="11" spans="2:10" ht="15.75" thickBot="1" x14ac:dyDescent="0.3">
      <c r="B11" s="212"/>
      <c r="C11" s="61" t="s">
        <v>2</v>
      </c>
      <c r="D11" s="62">
        <v>1.2500000000000001E-2</v>
      </c>
      <c r="E11" s="62">
        <v>1.7500000000000002E-2</v>
      </c>
      <c r="F11" s="62">
        <v>0.03</v>
      </c>
      <c r="H11" s="35"/>
      <c r="I11" s="35"/>
      <c r="J11" s="35"/>
    </row>
    <row r="12" spans="2:10" ht="15.75" thickBot="1" x14ac:dyDescent="0.3">
      <c r="B12" s="12"/>
      <c r="C12" s="5"/>
      <c r="D12" s="58"/>
      <c r="E12" s="58"/>
      <c r="F12" s="58"/>
      <c r="H12" s="35"/>
      <c r="I12" s="35"/>
      <c r="J12" s="35"/>
    </row>
    <row r="13" spans="2:10" ht="18" thickBot="1" x14ac:dyDescent="0.35">
      <c r="B13" s="12"/>
      <c r="C13" s="5"/>
      <c r="D13" s="63" t="s">
        <v>53</v>
      </c>
      <c r="E13" s="63" t="s">
        <v>4</v>
      </c>
      <c r="F13" s="63" t="s">
        <v>5</v>
      </c>
      <c r="H13" s="35"/>
      <c r="I13" s="35"/>
      <c r="J13" s="35"/>
    </row>
    <row r="14" spans="2:10" ht="15.75" thickBot="1" x14ac:dyDescent="0.3">
      <c r="B14" s="210" t="s">
        <v>6</v>
      </c>
      <c r="C14" s="61" t="s">
        <v>71</v>
      </c>
      <c r="D14" s="62">
        <v>1.2500000000000001E-2</v>
      </c>
      <c r="E14" s="62">
        <v>1.7500000000000002E-2</v>
      </c>
      <c r="F14" s="62"/>
      <c r="H14" s="35"/>
      <c r="I14" s="35"/>
      <c r="J14" s="35"/>
    </row>
    <row r="15" spans="2:10" ht="15.75" thickBot="1" x14ac:dyDescent="0.3">
      <c r="B15" s="211"/>
      <c r="C15" s="61" t="s">
        <v>72</v>
      </c>
      <c r="D15" s="62">
        <v>1.4999999999999999E-2</v>
      </c>
      <c r="E15" s="62">
        <v>2.2499999999999999E-2</v>
      </c>
      <c r="F15" s="62"/>
      <c r="H15" s="35"/>
      <c r="I15" s="35"/>
      <c r="J15" s="35"/>
    </row>
    <row r="16" spans="2:10" ht="15.75" thickBot="1" x14ac:dyDescent="0.3">
      <c r="B16" s="212"/>
      <c r="C16" s="61" t="s">
        <v>2</v>
      </c>
      <c r="D16" s="62">
        <v>0.02</v>
      </c>
      <c r="E16" s="62">
        <v>0.03</v>
      </c>
      <c r="F16" s="62">
        <v>0.04</v>
      </c>
      <c r="H16" s="35"/>
      <c r="I16" s="35"/>
      <c r="J16" s="35"/>
    </row>
    <row r="17" spans="2:10" ht="15.75" thickBot="1" x14ac:dyDescent="0.3">
      <c r="B17" s="12"/>
      <c r="C17" s="5"/>
      <c r="D17" s="58"/>
      <c r="E17" s="58"/>
      <c r="F17" s="58"/>
      <c r="H17" s="35"/>
      <c r="I17" s="35"/>
      <c r="J17" s="35"/>
    </row>
    <row r="18" spans="2:10" ht="18" thickBot="1" x14ac:dyDescent="0.35">
      <c r="B18" s="12"/>
      <c r="C18" s="5"/>
      <c r="D18" s="63" t="s">
        <v>53</v>
      </c>
      <c r="E18" s="63" t="s">
        <v>4</v>
      </c>
      <c r="F18" s="63" t="s">
        <v>5</v>
      </c>
      <c r="H18" s="35"/>
      <c r="I18" s="35"/>
      <c r="J18" s="35"/>
    </row>
    <row r="19" spans="2:10" ht="15.75" thickBot="1" x14ac:dyDescent="0.3">
      <c r="B19" s="171" t="s">
        <v>26</v>
      </c>
      <c r="C19" s="61" t="s">
        <v>6</v>
      </c>
      <c r="D19" s="62">
        <v>0.02</v>
      </c>
      <c r="E19" s="62">
        <v>0.02</v>
      </c>
      <c r="F19" s="62"/>
      <c r="H19" s="35"/>
      <c r="I19" s="35"/>
      <c r="J19" s="35"/>
    </row>
    <row r="20" spans="2:10" ht="15.75" thickBot="1" x14ac:dyDescent="0.3">
      <c r="B20" s="171"/>
      <c r="C20" s="61" t="s">
        <v>0</v>
      </c>
      <c r="D20" s="62">
        <v>1.4999999999999999E-2</v>
      </c>
      <c r="E20" s="62">
        <v>1.4999999999999999E-2</v>
      </c>
      <c r="F20" s="62">
        <v>1.4999999999999999E-2</v>
      </c>
      <c r="H20" s="35"/>
      <c r="I20" s="35"/>
      <c r="J20" s="35"/>
    </row>
    <row r="21" spans="2:10" ht="15.75" thickBot="1" x14ac:dyDescent="0.3">
      <c r="B21" s="12"/>
      <c r="C21" s="5"/>
      <c r="D21" s="58"/>
      <c r="E21" s="58"/>
      <c r="F21" s="58"/>
      <c r="H21" s="35"/>
      <c r="I21" s="35"/>
      <c r="J21" s="35"/>
    </row>
    <row r="22" spans="2:10" ht="18" thickBot="1" x14ac:dyDescent="0.35">
      <c r="B22" s="12"/>
      <c r="C22" s="5"/>
      <c r="D22" s="63" t="s">
        <v>53</v>
      </c>
      <c r="E22" s="63" t="s">
        <v>4</v>
      </c>
      <c r="F22" s="63" t="s">
        <v>5</v>
      </c>
      <c r="H22" s="35"/>
      <c r="I22" s="35"/>
      <c r="J22" s="35"/>
    </row>
    <row r="23" spans="2:10" ht="15.75" thickBot="1" x14ac:dyDescent="0.3">
      <c r="B23" s="210" t="s">
        <v>7</v>
      </c>
      <c r="C23" s="61" t="s">
        <v>71</v>
      </c>
      <c r="D23" s="62">
        <v>2.5000000000000001E-3</v>
      </c>
      <c r="E23" s="62">
        <v>5.0000000000000001E-3</v>
      </c>
      <c r="F23" s="62"/>
      <c r="H23" s="35"/>
      <c r="I23" s="35"/>
      <c r="J23" s="35"/>
    </row>
    <row r="24" spans="2:10" ht="15.75" thickBot="1" x14ac:dyDescent="0.3">
      <c r="B24" s="211"/>
      <c r="C24" s="61" t="s">
        <v>72</v>
      </c>
      <c r="D24" s="62">
        <v>5.0000000000000001E-3</v>
      </c>
      <c r="E24" s="62">
        <v>7.4999999999999997E-3</v>
      </c>
      <c r="F24" s="62"/>
      <c r="H24" s="35"/>
      <c r="I24" s="35"/>
      <c r="J24" s="35"/>
    </row>
    <row r="25" spans="2:10" ht="15.75" thickBot="1" x14ac:dyDescent="0.3">
      <c r="B25" s="212"/>
      <c r="C25" s="61" t="s">
        <v>2</v>
      </c>
      <c r="D25" s="62">
        <v>7.4999999999999997E-3</v>
      </c>
      <c r="E25" s="62">
        <v>0.01</v>
      </c>
      <c r="F25" s="62">
        <v>1.4999999999999999E-2</v>
      </c>
      <c r="H25" s="35"/>
      <c r="I25" s="35"/>
      <c r="J25" s="35"/>
    </row>
    <row r="26" spans="2:10" ht="15.75" thickBot="1" x14ac:dyDescent="0.3">
      <c r="B26" s="82"/>
      <c r="C26" s="5"/>
      <c r="D26" s="83"/>
      <c r="E26" s="83"/>
      <c r="F26" s="83"/>
      <c r="H26" s="35"/>
      <c r="I26" s="35"/>
      <c r="J26" s="35"/>
    </row>
    <row r="27" spans="2:10" ht="18" thickBot="1" x14ac:dyDescent="0.35">
      <c r="B27" s="12"/>
      <c r="C27" s="5"/>
      <c r="D27" s="63" t="s">
        <v>53</v>
      </c>
      <c r="E27" s="63" t="s">
        <v>4</v>
      </c>
      <c r="F27" s="63" t="s">
        <v>5</v>
      </c>
      <c r="H27" s="35"/>
      <c r="I27" s="35"/>
      <c r="J27" s="35"/>
    </row>
    <row r="28" spans="2:10" ht="15.75" thickBot="1" x14ac:dyDescent="0.3">
      <c r="B28" s="210" t="s">
        <v>64</v>
      </c>
      <c r="C28" s="61" t="s">
        <v>71</v>
      </c>
      <c r="D28" s="96">
        <f>0.0025/2</f>
        <v>1.25E-3</v>
      </c>
      <c r="E28" s="62">
        <v>2.5000000000000001E-3</v>
      </c>
      <c r="F28" s="62"/>
      <c r="H28" s="35"/>
      <c r="I28" s="35"/>
      <c r="J28" s="35"/>
    </row>
    <row r="29" spans="2:10" ht="15.75" thickBot="1" x14ac:dyDescent="0.3">
      <c r="B29" s="211"/>
      <c r="C29" s="61" t="s">
        <v>72</v>
      </c>
      <c r="D29" s="169">
        <v>2.5000000000000001E-3</v>
      </c>
      <c r="E29" s="169">
        <v>5.0000000000000001E-3</v>
      </c>
      <c r="F29" s="62"/>
      <c r="H29" s="35"/>
      <c r="I29" s="35"/>
      <c r="J29" s="35"/>
    </row>
    <row r="30" spans="2:10" ht="15.75" thickBot="1" x14ac:dyDescent="0.3">
      <c r="B30" s="212"/>
      <c r="C30" s="61" t="s">
        <v>2</v>
      </c>
      <c r="D30" s="170"/>
      <c r="E30" s="170">
        <v>7.4999999999999997E-3</v>
      </c>
      <c r="F30" s="62"/>
      <c r="H30" s="35"/>
      <c r="I30" s="35"/>
      <c r="J30" s="35"/>
    </row>
    <row r="31" spans="2:10" x14ac:dyDescent="0.25">
      <c r="F31" s="57" t="s">
        <v>36</v>
      </c>
      <c r="H31" s="35"/>
      <c r="I31" s="35"/>
      <c r="J31" s="35"/>
    </row>
    <row r="32" spans="2:10" x14ac:dyDescent="0.25">
      <c r="H32" s="35"/>
      <c r="I32" s="35"/>
      <c r="J32" s="35"/>
    </row>
    <row r="33" spans="2:10" x14ac:dyDescent="0.25">
      <c r="H33" s="35"/>
      <c r="I33" s="35"/>
      <c r="J33" s="35"/>
    </row>
    <row r="34" spans="2:10" x14ac:dyDescent="0.25">
      <c r="B34" s="164" t="s">
        <v>37</v>
      </c>
      <c r="C34" s="164"/>
      <c r="H34" s="35"/>
      <c r="I34" s="35"/>
      <c r="J34" s="35"/>
    </row>
    <row r="35" spans="2:10" x14ac:dyDescent="0.25">
      <c r="H35" s="35"/>
      <c r="I35" s="35"/>
      <c r="J35" s="35"/>
    </row>
    <row r="36" spans="2:10" x14ac:dyDescent="0.25">
      <c r="H36" s="35"/>
      <c r="I36" s="35"/>
      <c r="J36" s="35"/>
    </row>
    <row r="37" spans="2:10" x14ac:dyDescent="0.25">
      <c r="B37" s="35" t="s">
        <v>31</v>
      </c>
      <c r="D37" s="57" t="s">
        <v>24</v>
      </c>
      <c r="F37" s="57" t="s">
        <v>23</v>
      </c>
    </row>
  </sheetData>
  <mergeCells count="8">
    <mergeCell ref="E29:E30"/>
    <mergeCell ref="B34:C34"/>
    <mergeCell ref="B19:B20"/>
    <mergeCell ref="D29:D30"/>
    <mergeCell ref="B9:B11"/>
    <mergeCell ref="B14:B16"/>
    <mergeCell ref="B23:B25"/>
    <mergeCell ref="B28:B30"/>
  </mergeCells>
  <pageMargins left="0.6" right="0.7" top="0.79" bottom="0.75" header="0.3" footer="0.3"/>
  <pageSetup paperSize="9" scale="8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4848-B1DE-4F14-8B67-03346E0D718E}">
  <sheetPr codeName="Sheet13"/>
  <dimension ref="B1:N38"/>
  <sheetViews>
    <sheetView showGridLines="0" view="pageBreakPreview" topLeftCell="A15" zoomScaleNormal="100" zoomScaleSheetLayoutView="100" workbookViewId="0">
      <selection activeCell="I24" sqref="I24"/>
    </sheetView>
  </sheetViews>
  <sheetFormatPr defaultColWidth="9.140625" defaultRowHeight="15" x14ac:dyDescent="0.25"/>
  <cols>
    <col min="1" max="1" width="3.85546875" style="35" customWidth="1"/>
    <col min="2" max="2" width="20.5703125" style="35" bestFit="1" customWidth="1"/>
    <col min="3" max="3" width="20.85546875" style="35" customWidth="1"/>
    <col min="4" max="4" width="19.28515625" style="57" customWidth="1"/>
    <col min="5" max="5" width="17.28515625" style="57" customWidth="1"/>
    <col min="6" max="6" width="16.140625" style="57" customWidth="1"/>
    <col min="7" max="7" width="8.140625" style="35" customWidth="1"/>
    <col min="8" max="8" width="8.85546875" style="59" bestFit="1" customWidth="1"/>
    <col min="9" max="9" width="11.85546875" style="5" bestFit="1" customWidth="1"/>
    <col min="10" max="10" width="7.5703125" style="5" bestFit="1" customWidth="1"/>
    <col min="11" max="14" width="8.140625" style="35" customWidth="1"/>
    <col min="15" max="15" width="11.5703125" style="35" bestFit="1" customWidth="1"/>
    <col min="16" max="16" width="9.5703125" style="35" bestFit="1" customWidth="1"/>
    <col min="17" max="16384" width="9.140625" style="35"/>
  </cols>
  <sheetData>
    <row r="1" spans="2:14" ht="25.15" customHeight="1" x14ac:dyDescent="0.25">
      <c r="B1" s="39"/>
    </row>
    <row r="2" spans="2:14" ht="25.15" customHeight="1" x14ac:dyDescent="0.25"/>
    <row r="3" spans="2:14" ht="25.15" customHeight="1" x14ac:dyDescent="0.25"/>
    <row r="4" spans="2:14" ht="34.9" customHeight="1" x14ac:dyDescent="0.25">
      <c r="B4" s="25" t="s">
        <v>22</v>
      </c>
      <c r="I4" s="64"/>
    </row>
    <row r="5" spans="2:14" x14ac:dyDescent="0.25">
      <c r="B5" s="12"/>
      <c r="F5" s="57" t="s">
        <v>74</v>
      </c>
    </row>
    <row r="6" spans="2:14" x14ac:dyDescent="0.25">
      <c r="B6" s="12"/>
      <c r="F6" s="57" t="s">
        <v>34</v>
      </c>
    </row>
    <row r="7" spans="2:14" ht="15.75" thickBot="1" x14ac:dyDescent="0.3">
      <c r="B7" s="12"/>
      <c r="H7" s="35"/>
      <c r="I7" s="35"/>
      <c r="J7" s="35"/>
    </row>
    <row r="8" spans="2:14" ht="18" thickBot="1" x14ac:dyDescent="0.35">
      <c r="B8" s="12"/>
      <c r="C8" s="5"/>
      <c r="D8" s="63" t="s">
        <v>53</v>
      </c>
      <c r="E8" s="63" t="s">
        <v>4</v>
      </c>
      <c r="F8" s="63" t="s">
        <v>5</v>
      </c>
      <c r="H8" s="35"/>
      <c r="I8" s="35"/>
      <c r="J8" s="35"/>
      <c r="K8" s="99"/>
      <c r="L8" s="100"/>
    </row>
    <row r="9" spans="2:14" ht="19.5" thickBot="1" x14ac:dyDescent="0.3">
      <c r="B9" s="210" t="s">
        <v>0</v>
      </c>
      <c r="C9" s="61" t="s">
        <v>75</v>
      </c>
      <c r="D9" s="62">
        <v>5.0000000000000001E-3</v>
      </c>
      <c r="E9" s="62">
        <v>7.4999999999999997E-3</v>
      </c>
      <c r="F9" s="62"/>
      <c r="H9" s="35"/>
      <c r="I9" s="102" t="s">
        <v>77</v>
      </c>
      <c r="J9" s="103" t="s">
        <v>78</v>
      </c>
    </row>
    <row r="10" spans="2:14" ht="19.5" thickBot="1" x14ac:dyDescent="0.3">
      <c r="B10" s="211"/>
      <c r="C10" s="61" t="s">
        <v>76</v>
      </c>
      <c r="D10" s="62">
        <v>0.01</v>
      </c>
      <c r="E10" s="62">
        <v>1.4999999999999999E-2</v>
      </c>
      <c r="F10" s="62"/>
      <c r="H10" s="35"/>
      <c r="I10" s="104" t="s">
        <v>79</v>
      </c>
      <c r="J10" s="105" t="s">
        <v>80</v>
      </c>
      <c r="L10" s="100"/>
    </row>
    <row r="11" spans="2:14" ht="19.5" thickBot="1" x14ac:dyDescent="0.3">
      <c r="B11" s="212"/>
      <c r="C11" s="61" t="s">
        <v>2</v>
      </c>
      <c r="D11" s="62">
        <v>1.4999999999999999E-2</v>
      </c>
      <c r="E11" s="62">
        <v>2.5000000000000001E-2</v>
      </c>
      <c r="F11" s="62"/>
      <c r="H11" s="35"/>
      <c r="I11" s="104" t="s">
        <v>81</v>
      </c>
      <c r="J11" s="105" t="s">
        <v>82</v>
      </c>
      <c r="N11" s="101"/>
    </row>
    <row r="12" spans="2:14" ht="19.5" thickBot="1" x14ac:dyDescent="0.3">
      <c r="B12" s="12"/>
      <c r="C12" s="5"/>
      <c r="D12" s="58"/>
      <c r="E12" s="58"/>
      <c r="F12" s="58"/>
      <c r="H12" s="35"/>
      <c r="I12" s="104" t="s">
        <v>83</v>
      </c>
      <c r="J12" s="105" t="s">
        <v>84</v>
      </c>
      <c r="K12" s="97"/>
      <c r="M12" s="57"/>
    </row>
    <row r="13" spans="2:14" ht="19.5" thickBot="1" x14ac:dyDescent="0.35">
      <c r="B13" s="12"/>
      <c r="C13" s="5"/>
      <c r="D13" s="63" t="s">
        <v>53</v>
      </c>
      <c r="E13" s="63" t="s">
        <v>4</v>
      </c>
      <c r="F13" s="63" t="s">
        <v>5</v>
      </c>
      <c r="H13" s="35"/>
      <c r="I13" s="104" t="s">
        <v>85</v>
      </c>
      <c r="J13" s="105" t="s">
        <v>86</v>
      </c>
      <c r="K13" s="97"/>
      <c r="M13" s="57"/>
    </row>
    <row r="14" spans="2:14" ht="19.5" thickBot="1" x14ac:dyDescent="0.3">
      <c r="B14" s="210" t="s">
        <v>6</v>
      </c>
      <c r="C14" s="61" t="s">
        <v>75</v>
      </c>
      <c r="D14" s="62">
        <v>7.4999999999999997E-3</v>
      </c>
      <c r="E14" s="62">
        <v>1.2500000000000001E-2</v>
      </c>
      <c r="F14" s="62"/>
      <c r="H14" s="35"/>
      <c r="I14" s="104" t="s">
        <v>87</v>
      </c>
      <c r="J14" s="105" t="s">
        <v>88</v>
      </c>
      <c r="K14" s="57"/>
      <c r="M14" s="57"/>
    </row>
    <row r="15" spans="2:14" ht="15.75" thickBot="1" x14ac:dyDescent="0.3">
      <c r="B15" s="211"/>
      <c r="C15" s="61" t="s">
        <v>76</v>
      </c>
      <c r="D15" s="62">
        <v>1.4999999999999999E-2</v>
      </c>
      <c r="E15" s="62">
        <v>2.2499999999999999E-2</v>
      </c>
      <c r="F15" s="62"/>
      <c r="H15" s="35"/>
      <c r="I15" s="35"/>
      <c r="J15" s="57"/>
      <c r="K15" s="57"/>
      <c r="M15" s="98"/>
    </row>
    <row r="16" spans="2:14" ht="15.75" thickBot="1" x14ac:dyDescent="0.3">
      <c r="B16" s="212"/>
      <c r="C16" s="61" t="s">
        <v>2</v>
      </c>
      <c r="D16" s="62">
        <v>0.02</v>
      </c>
      <c r="E16" s="62">
        <v>0.03</v>
      </c>
      <c r="F16" s="62"/>
      <c r="H16" s="35"/>
      <c r="I16" s="35"/>
      <c r="J16" s="35"/>
    </row>
    <row r="17" spans="2:10" ht="15.75" thickBot="1" x14ac:dyDescent="0.3">
      <c r="B17" s="12"/>
      <c r="C17" s="5"/>
      <c r="D17" s="58"/>
      <c r="E17" s="58"/>
      <c r="F17" s="58"/>
      <c r="H17" s="35"/>
      <c r="I17" s="35"/>
      <c r="J17" s="35"/>
    </row>
    <row r="18" spans="2:10" ht="18" thickBot="1" x14ac:dyDescent="0.35">
      <c r="B18" s="12"/>
      <c r="C18" s="5"/>
      <c r="D18" s="63" t="s">
        <v>53</v>
      </c>
      <c r="E18" s="63" t="s">
        <v>4</v>
      </c>
      <c r="F18" s="63" t="s">
        <v>5</v>
      </c>
      <c r="H18" s="35"/>
      <c r="I18" s="35"/>
      <c r="J18" s="35"/>
    </row>
    <row r="19" spans="2:10" ht="15.75" thickBot="1" x14ac:dyDescent="0.3">
      <c r="B19" s="171" t="s">
        <v>26</v>
      </c>
      <c r="C19" s="61" t="s">
        <v>6</v>
      </c>
      <c r="D19" s="62">
        <v>0.02</v>
      </c>
      <c r="E19" s="62">
        <v>0.02</v>
      </c>
      <c r="F19" s="62"/>
      <c r="H19" s="35"/>
      <c r="I19" s="35"/>
      <c r="J19" s="35"/>
    </row>
    <row r="20" spans="2:10" ht="15.75" thickBot="1" x14ac:dyDescent="0.3">
      <c r="B20" s="171"/>
      <c r="C20" s="61" t="s">
        <v>0</v>
      </c>
      <c r="D20" s="62">
        <v>1.4999999999999999E-2</v>
      </c>
      <c r="E20" s="62">
        <v>1.4999999999999999E-2</v>
      </c>
      <c r="F20" s="62"/>
      <c r="H20" s="35"/>
      <c r="I20" s="35"/>
      <c r="J20" s="35"/>
    </row>
    <row r="21" spans="2:10" ht="15.75" thickBot="1" x14ac:dyDescent="0.3">
      <c r="B21" s="12"/>
      <c r="C21" s="5"/>
      <c r="D21" s="58"/>
      <c r="E21" s="58"/>
      <c r="F21" s="58"/>
      <c r="H21" s="35"/>
      <c r="I21" s="35"/>
      <c r="J21" s="35"/>
    </row>
    <row r="22" spans="2:10" ht="18" thickBot="1" x14ac:dyDescent="0.35">
      <c r="B22" s="12"/>
      <c r="C22" s="5"/>
      <c r="D22" s="63" t="s">
        <v>53</v>
      </c>
      <c r="E22" s="63" t="s">
        <v>4</v>
      </c>
      <c r="F22" s="63" t="s">
        <v>5</v>
      </c>
      <c r="H22" s="35"/>
      <c r="I22" s="35"/>
      <c r="J22" s="35"/>
    </row>
    <row r="23" spans="2:10" ht="15.75" thickBot="1" x14ac:dyDescent="0.3">
      <c r="B23" s="210" t="s">
        <v>7</v>
      </c>
      <c r="C23" s="61" t="s">
        <v>75</v>
      </c>
      <c r="D23" s="62">
        <v>2.5000000000000001E-3</v>
      </c>
      <c r="E23" s="62">
        <v>5.0000000000000001E-3</v>
      </c>
      <c r="F23" s="62"/>
      <c r="H23" s="35"/>
      <c r="I23" s="35"/>
      <c r="J23" s="35"/>
    </row>
    <row r="24" spans="2:10" ht="15.75" thickBot="1" x14ac:dyDescent="0.3">
      <c r="B24" s="211"/>
      <c r="C24" s="61" t="s">
        <v>76</v>
      </c>
      <c r="D24" s="62">
        <v>5.0000000000000001E-3</v>
      </c>
      <c r="E24" s="62">
        <v>7.4999999999999997E-3</v>
      </c>
      <c r="F24" s="62"/>
      <c r="H24" s="35"/>
      <c r="I24" s="35"/>
      <c r="J24" s="35"/>
    </row>
    <row r="25" spans="2:10" ht="15.75" thickBot="1" x14ac:dyDescent="0.3">
      <c r="B25" s="212"/>
      <c r="C25" s="61" t="s">
        <v>2</v>
      </c>
      <c r="D25" s="62">
        <v>7.4999999999999997E-3</v>
      </c>
      <c r="E25" s="62">
        <v>1.2500000000000001E-2</v>
      </c>
      <c r="F25" s="62"/>
      <c r="H25" s="35"/>
      <c r="I25" s="35"/>
      <c r="J25" s="35"/>
    </row>
    <row r="26" spans="2:10" ht="15.75" thickBot="1" x14ac:dyDescent="0.3">
      <c r="B26" s="82"/>
      <c r="C26" s="5"/>
      <c r="D26" s="83"/>
      <c r="E26" s="83"/>
      <c r="F26" s="83"/>
      <c r="H26" s="35"/>
      <c r="I26" s="35"/>
      <c r="J26" s="35"/>
    </row>
    <row r="27" spans="2:10" ht="18" thickBot="1" x14ac:dyDescent="0.35">
      <c r="B27" s="12"/>
      <c r="C27" s="5"/>
      <c r="D27" s="63" t="s">
        <v>53</v>
      </c>
      <c r="E27" s="63" t="s">
        <v>4</v>
      </c>
      <c r="F27" s="63" t="s">
        <v>5</v>
      </c>
      <c r="H27" s="35"/>
      <c r="I27" s="35"/>
      <c r="J27" s="35"/>
    </row>
    <row r="28" spans="2:10" ht="15.75" thickBot="1" x14ac:dyDescent="0.3">
      <c r="B28" s="210" t="s">
        <v>64</v>
      </c>
      <c r="C28" s="61" t="s">
        <v>75</v>
      </c>
      <c r="D28" s="96">
        <v>1.25E-3</v>
      </c>
      <c r="E28" s="62">
        <v>2.5000000000000001E-3</v>
      </c>
      <c r="F28" s="62"/>
      <c r="H28" s="35"/>
      <c r="I28" s="35"/>
      <c r="J28" s="35"/>
    </row>
    <row r="29" spans="2:10" ht="15.75" thickBot="1" x14ac:dyDescent="0.3">
      <c r="B29" s="211"/>
      <c r="C29" s="61" t="s">
        <v>76</v>
      </c>
      <c r="D29" s="169">
        <v>2.5000000000000001E-3</v>
      </c>
      <c r="E29" s="169">
        <v>5.0000000000000001E-3</v>
      </c>
      <c r="F29" s="62"/>
      <c r="H29" s="35"/>
      <c r="I29" s="35"/>
      <c r="J29" s="35"/>
    </row>
    <row r="30" spans="2:10" ht="15.75" thickBot="1" x14ac:dyDescent="0.3">
      <c r="B30" s="212"/>
      <c r="C30" s="61" t="s">
        <v>2</v>
      </c>
      <c r="D30" s="170"/>
      <c r="E30" s="170"/>
      <c r="F30" s="62"/>
      <c r="H30" s="35"/>
      <c r="I30" s="35"/>
      <c r="J30" s="35"/>
    </row>
    <row r="31" spans="2:10" x14ac:dyDescent="0.25">
      <c r="F31" s="57" t="s">
        <v>36</v>
      </c>
      <c r="H31" s="35"/>
      <c r="I31" s="35"/>
      <c r="J31" s="35"/>
    </row>
    <row r="32" spans="2:10" x14ac:dyDescent="0.25">
      <c r="H32" s="35"/>
      <c r="I32" s="35"/>
      <c r="J32" s="35"/>
    </row>
    <row r="33" spans="2:10" x14ac:dyDescent="0.25">
      <c r="H33" s="35"/>
      <c r="I33" s="35"/>
      <c r="J33" s="35"/>
    </row>
    <row r="34" spans="2:10" x14ac:dyDescent="0.25">
      <c r="B34" s="164" t="s">
        <v>37</v>
      </c>
      <c r="C34" s="164"/>
      <c r="H34" s="35"/>
      <c r="I34" s="35"/>
      <c r="J34" s="35"/>
    </row>
    <row r="35" spans="2:10" x14ac:dyDescent="0.25">
      <c r="H35" s="35"/>
      <c r="I35" s="35"/>
      <c r="J35" s="35"/>
    </row>
    <row r="36" spans="2:10" x14ac:dyDescent="0.25">
      <c r="H36" s="35"/>
      <c r="I36" s="35"/>
      <c r="J36" s="35"/>
    </row>
    <row r="37" spans="2:10" x14ac:dyDescent="0.25">
      <c r="B37" s="35" t="s">
        <v>31</v>
      </c>
      <c r="D37" s="57" t="s">
        <v>24</v>
      </c>
      <c r="F37" s="57" t="s">
        <v>23</v>
      </c>
      <c r="H37" s="35"/>
      <c r="I37" s="35"/>
      <c r="J37" s="35"/>
    </row>
    <row r="38" spans="2:10" x14ac:dyDescent="0.25">
      <c r="H38" s="35"/>
      <c r="I38" s="35"/>
      <c r="J38" s="35"/>
    </row>
  </sheetData>
  <mergeCells count="8">
    <mergeCell ref="E29:E30"/>
    <mergeCell ref="B34:C34"/>
    <mergeCell ref="B9:B11"/>
    <mergeCell ref="B14:B16"/>
    <mergeCell ref="B19:B20"/>
    <mergeCell ref="B23:B25"/>
    <mergeCell ref="B28:B30"/>
    <mergeCell ref="D29:D30"/>
  </mergeCells>
  <pageMargins left="0.6" right="0.7" top="0.79" bottom="0.75" header="0.3" footer="0.3"/>
  <pageSetup paperSize="9" scale="8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0692-1CAB-4905-85DE-BA408909B283}">
  <dimension ref="B1:O45"/>
  <sheetViews>
    <sheetView showGridLines="0" view="pageBreakPreview" zoomScaleNormal="100" zoomScaleSheetLayoutView="100" workbookViewId="0">
      <selection activeCell="N3" sqref="I3:N20"/>
    </sheetView>
  </sheetViews>
  <sheetFormatPr defaultColWidth="9.140625" defaultRowHeight="15" x14ac:dyDescent="0.25"/>
  <cols>
    <col min="1" max="1" width="3.85546875" style="35" customWidth="1"/>
    <col min="2" max="2" width="20.5703125" style="35" bestFit="1" customWidth="1"/>
    <col min="3" max="3" width="20.85546875" style="35" customWidth="1"/>
    <col min="4" max="4" width="19.28515625" style="57" customWidth="1"/>
    <col min="5" max="5" width="17.28515625" style="57" customWidth="1"/>
    <col min="6" max="7" width="16.140625" style="57" customWidth="1"/>
    <col min="8" max="8" width="14.7109375" style="35" bestFit="1" customWidth="1"/>
    <col min="9" max="10" width="9.140625" style="57" bestFit="1" customWidth="1"/>
    <col min="11" max="11" width="8.140625" style="57" customWidth="1"/>
    <col min="12" max="12" width="11.5703125" style="57" bestFit="1" customWidth="1"/>
    <col min="13" max="13" width="9.5703125" style="57" bestFit="1" customWidth="1"/>
    <col min="14" max="15" width="9.140625" style="56"/>
    <col min="16" max="16384" width="9.140625" style="35"/>
  </cols>
  <sheetData>
    <row r="1" spans="2:13" ht="25.15" customHeight="1" x14ac:dyDescent="0.25">
      <c r="B1" s="39"/>
    </row>
    <row r="2" spans="2:13" ht="25.15" customHeight="1" x14ac:dyDescent="0.25"/>
    <row r="3" spans="2:13" ht="25.15" customHeight="1" x14ac:dyDescent="0.25">
      <c r="I3" s="35"/>
      <c r="J3" s="137"/>
      <c r="K3" s="137"/>
      <c r="L3" s="137"/>
      <c r="M3" s="137"/>
    </row>
    <row r="4" spans="2:13" ht="34.9" customHeight="1" x14ac:dyDescent="0.25">
      <c r="B4" s="25" t="s">
        <v>22</v>
      </c>
      <c r="I4" s="35"/>
      <c r="J4" s="138"/>
      <c r="K4" s="138"/>
      <c r="L4" s="138"/>
      <c r="M4" s="138"/>
    </row>
    <row r="5" spans="2:13" x14ac:dyDescent="0.25">
      <c r="B5" s="12"/>
      <c r="F5" s="57" t="s">
        <v>74</v>
      </c>
      <c r="I5" s="35"/>
    </row>
    <row r="6" spans="2:13" x14ac:dyDescent="0.25">
      <c r="B6" s="12"/>
      <c r="F6" s="57" t="s">
        <v>34</v>
      </c>
      <c r="I6" s="35"/>
      <c r="J6" s="138"/>
      <c r="K6" s="138"/>
      <c r="L6" s="138"/>
      <c r="M6" s="138"/>
    </row>
    <row r="7" spans="2:13" ht="15.75" thickBot="1" x14ac:dyDescent="0.3">
      <c r="B7" s="12"/>
      <c r="I7" s="35"/>
      <c r="J7" s="137"/>
      <c r="K7" s="137"/>
      <c r="L7" s="137"/>
      <c r="M7" s="137"/>
    </row>
    <row r="8" spans="2:13" ht="18" thickBot="1" x14ac:dyDescent="0.35">
      <c r="B8" s="12"/>
      <c r="C8" s="5"/>
      <c r="D8" s="136">
        <v>0.6</v>
      </c>
      <c r="E8" s="136">
        <v>0.61</v>
      </c>
      <c r="F8" s="136">
        <v>0.91</v>
      </c>
      <c r="G8" s="136">
        <v>1.01</v>
      </c>
      <c r="I8" s="99"/>
    </row>
    <row r="9" spans="2:13" ht="15.75" thickBot="1" x14ac:dyDescent="0.3">
      <c r="B9" s="210" t="s">
        <v>0</v>
      </c>
      <c r="C9" s="61" t="s">
        <v>137</v>
      </c>
      <c r="D9" s="62">
        <v>7.4999999999999997E-3</v>
      </c>
      <c r="E9" s="62">
        <v>0.01</v>
      </c>
      <c r="F9" s="62">
        <v>1.2500000000000001E-2</v>
      </c>
      <c r="G9" s="62">
        <v>1.4999999999999999E-2</v>
      </c>
      <c r="I9" s="35"/>
      <c r="J9" s="137"/>
      <c r="K9" s="137"/>
      <c r="L9" s="137"/>
      <c r="M9" s="137"/>
    </row>
    <row r="10" spans="2:13" ht="15.75" thickBot="1" x14ac:dyDescent="0.3">
      <c r="B10" s="211"/>
      <c r="C10" s="61" t="s">
        <v>135</v>
      </c>
      <c r="D10" s="62">
        <v>0.01</v>
      </c>
      <c r="E10" s="62">
        <v>1.2500000000000001E-2</v>
      </c>
      <c r="F10" s="62">
        <v>1.4999999999999999E-2</v>
      </c>
      <c r="G10" s="62">
        <v>1.7500000000000002E-2</v>
      </c>
      <c r="I10" s="35"/>
      <c r="J10" s="138"/>
      <c r="K10" s="138"/>
      <c r="L10" s="138"/>
      <c r="M10" s="138"/>
    </row>
    <row r="11" spans="2:13" ht="15.75" thickBot="1" x14ac:dyDescent="0.3">
      <c r="B11" s="212"/>
      <c r="C11" s="61" t="s">
        <v>136</v>
      </c>
      <c r="D11" s="62">
        <v>1.2500000000000001E-2</v>
      </c>
      <c r="E11" s="62">
        <v>1.4999999999999999E-2</v>
      </c>
      <c r="F11" s="62">
        <v>0.02</v>
      </c>
      <c r="G11" s="62">
        <v>2.75E-2</v>
      </c>
      <c r="I11" s="35"/>
    </row>
    <row r="12" spans="2:13" ht="15.75" thickBot="1" x14ac:dyDescent="0.3">
      <c r="B12" s="12"/>
      <c r="C12" s="5"/>
      <c r="D12" s="58"/>
      <c r="E12" s="58"/>
      <c r="F12" s="58"/>
      <c r="G12" s="58"/>
      <c r="I12" s="97"/>
      <c r="J12" s="138"/>
      <c r="K12" s="138"/>
      <c r="L12" s="138"/>
      <c r="M12" s="138"/>
    </row>
    <row r="13" spans="2:13" ht="18" thickBot="1" x14ac:dyDescent="0.35">
      <c r="B13" s="12"/>
      <c r="C13" s="5"/>
      <c r="D13" s="136">
        <v>0.6</v>
      </c>
      <c r="E13" s="136">
        <v>0.61</v>
      </c>
      <c r="F13" s="136">
        <v>0.91</v>
      </c>
      <c r="G13" s="136">
        <v>1.01</v>
      </c>
      <c r="I13" s="97"/>
      <c r="J13" s="137"/>
      <c r="K13" s="137"/>
      <c r="L13" s="137"/>
      <c r="M13" s="137"/>
    </row>
    <row r="14" spans="2:13" ht="15.75" thickBot="1" x14ac:dyDescent="0.3">
      <c r="B14" s="210" t="s">
        <v>6</v>
      </c>
      <c r="C14" s="61" t="s">
        <v>137</v>
      </c>
      <c r="D14" s="62">
        <v>0.01</v>
      </c>
      <c r="E14" s="62">
        <v>1.2500000000000001E-2</v>
      </c>
      <c r="F14" s="62">
        <v>1.4999999999999999E-2</v>
      </c>
      <c r="G14" s="62">
        <v>0.02</v>
      </c>
    </row>
    <row r="15" spans="2:13" ht="15.75" thickBot="1" x14ac:dyDescent="0.3">
      <c r="B15" s="211"/>
      <c r="C15" s="61" t="s">
        <v>135</v>
      </c>
      <c r="D15" s="62">
        <v>1.4999999999999999E-2</v>
      </c>
      <c r="E15" s="62">
        <v>1.7500000000000002E-2</v>
      </c>
      <c r="F15" s="62">
        <v>0.02</v>
      </c>
      <c r="G15" s="62">
        <v>2.2499999999999999E-2</v>
      </c>
      <c r="I15" s="35"/>
      <c r="J15" s="137"/>
      <c r="K15" s="137"/>
      <c r="L15" s="137"/>
      <c r="M15" s="137"/>
    </row>
    <row r="16" spans="2:13" ht="15.75" thickBot="1" x14ac:dyDescent="0.3">
      <c r="B16" s="212"/>
      <c r="C16" s="61" t="s">
        <v>136</v>
      </c>
      <c r="D16" s="62">
        <v>1.7500000000000002E-2</v>
      </c>
      <c r="E16" s="62">
        <v>2.5000000000000001E-2</v>
      </c>
      <c r="F16" s="62">
        <v>0.03</v>
      </c>
      <c r="G16" s="62">
        <v>3.5000000000000003E-2</v>
      </c>
      <c r="I16" s="35"/>
      <c r="J16" s="138"/>
      <c r="K16" s="138"/>
      <c r="L16" s="138"/>
      <c r="M16" s="138"/>
    </row>
    <row r="17" spans="2:13" ht="15.75" thickBot="1" x14ac:dyDescent="0.3">
      <c r="B17" s="12"/>
      <c r="C17" s="5"/>
      <c r="D17" s="58"/>
      <c r="E17" s="58"/>
      <c r="F17" s="58"/>
      <c r="G17" s="58"/>
      <c r="I17" s="35"/>
    </row>
    <row r="18" spans="2:13" ht="18" thickBot="1" x14ac:dyDescent="0.35">
      <c r="B18" s="12"/>
      <c r="C18" s="5"/>
      <c r="D18" s="63" t="s">
        <v>53</v>
      </c>
      <c r="E18" s="63" t="s">
        <v>4</v>
      </c>
      <c r="F18" s="63" t="s">
        <v>5</v>
      </c>
      <c r="G18" s="63"/>
      <c r="I18" s="97"/>
      <c r="J18" s="138"/>
      <c r="K18" s="138"/>
      <c r="L18" s="138"/>
      <c r="M18" s="138"/>
    </row>
    <row r="19" spans="2:13" ht="15.75" thickBot="1" x14ac:dyDescent="0.3">
      <c r="B19" s="171" t="s">
        <v>26</v>
      </c>
      <c r="C19" s="61" t="s">
        <v>6</v>
      </c>
      <c r="D19" s="62">
        <v>0.02</v>
      </c>
      <c r="E19" s="62">
        <v>0.02</v>
      </c>
      <c r="F19" s="62"/>
      <c r="G19" s="62"/>
      <c r="I19" s="97"/>
      <c r="J19" s="137"/>
      <c r="K19" s="137"/>
      <c r="L19" s="137"/>
      <c r="M19" s="137"/>
    </row>
    <row r="20" spans="2:13" ht="15.75" thickBot="1" x14ac:dyDescent="0.3">
      <c r="B20" s="171"/>
      <c r="C20" s="61" t="s">
        <v>0</v>
      </c>
      <c r="D20" s="62">
        <v>1.4999999999999999E-2</v>
      </c>
      <c r="E20" s="62">
        <v>1.4999999999999999E-2</v>
      </c>
      <c r="F20" s="62"/>
      <c r="G20" s="62"/>
    </row>
    <row r="21" spans="2:13" ht="15.75" thickBot="1" x14ac:dyDescent="0.3">
      <c r="B21" s="12"/>
      <c r="C21" s="5"/>
      <c r="D21" s="58"/>
      <c r="E21" s="58"/>
      <c r="F21" s="58"/>
      <c r="G21" s="58"/>
    </row>
    <row r="22" spans="2:13" ht="18" thickBot="1" x14ac:dyDescent="0.35">
      <c r="B22" s="12"/>
      <c r="C22" s="5"/>
      <c r="D22" s="136">
        <v>0.6</v>
      </c>
      <c r="E22" s="136">
        <v>0.61</v>
      </c>
      <c r="F22" s="136">
        <v>0.91</v>
      </c>
      <c r="G22" s="136">
        <v>1.01</v>
      </c>
    </row>
    <row r="23" spans="2:13" ht="15.75" thickBot="1" x14ac:dyDescent="0.3">
      <c r="B23" s="210" t="s">
        <v>7</v>
      </c>
      <c r="C23" s="61" t="s">
        <v>137</v>
      </c>
      <c r="D23" s="62">
        <v>2.5000000000000001E-3</v>
      </c>
      <c r="E23" s="62">
        <v>2.5000000000000001E-3</v>
      </c>
      <c r="F23" s="62">
        <v>5.0000000000000001E-3</v>
      </c>
      <c r="G23" s="62">
        <v>5.0000000000000001E-3</v>
      </c>
    </row>
    <row r="24" spans="2:13" ht="15.75" thickBot="1" x14ac:dyDescent="0.3">
      <c r="B24" s="211"/>
      <c r="C24" s="61" t="s">
        <v>135</v>
      </c>
      <c r="D24" s="62">
        <v>5.0000000000000001E-3</v>
      </c>
      <c r="E24" s="62">
        <v>5.0000000000000001E-3</v>
      </c>
      <c r="F24" s="62">
        <v>7.4999999999999997E-3</v>
      </c>
      <c r="G24" s="62">
        <v>0.01</v>
      </c>
    </row>
    <row r="25" spans="2:13" ht="15.75" thickBot="1" x14ac:dyDescent="0.3">
      <c r="B25" s="212"/>
      <c r="C25" s="61" t="s">
        <v>136</v>
      </c>
      <c r="D25" s="62">
        <v>7.4999999999999997E-3</v>
      </c>
      <c r="E25" s="62">
        <v>7.4999999999999997E-3</v>
      </c>
      <c r="F25" s="62">
        <v>0.01</v>
      </c>
      <c r="G25" s="62">
        <v>1.2500000000000001E-2</v>
      </c>
    </row>
    <row r="26" spans="2:13" ht="15.75" thickBot="1" x14ac:dyDescent="0.3">
      <c r="B26" s="82"/>
      <c r="C26" s="5"/>
      <c r="D26" s="83"/>
      <c r="E26" s="83"/>
      <c r="F26" s="83"/>
      <c r="G26" s="83"/>
    </row>
    <row r="27" spans="2:13" ht="18" thickBot="1" x14ac:dyDescent="0.35">
      <c r="B27" s="12"/>
      <c r="C27" s="5"/>
      <c r="D27" s="136">
        <v>0.6</v>
      </c>
      <c r="E27" s="136">
        <v>0.61</v>
      </c>
      <c r="F27" s="136">
        <v>0.91</v>
      </c>
      <c r="G27" s="136">
        <v>1.01</v>
      </c>
    </row>
    <row r="28" spans="2:13" ht="15.75" thickBot="1" x14ac:dyDescent="0.3">
      <c r="B28" s="210" t="s">
        <v>64</v>
      </c>
      <c r="C28" s="61" t="s">
        <v>137</v>
      </c>
      <c r="D28" s="62">
        <v>1.25E-3</v>
      </c>
      <c r="E28" s="62">
        <v>1.25E-3</v>
      </c>
      <c r="F28" s="62">
        <v>2.5000000000000001E-3</v>
      </c>
      <c r="G28" s="62">
        <v>2.5000000000000001E-3</v>
      </c>
    </row>
    <row r="29" spans="2:13" ht="15.75" thickBot="1" x14ac:dyDescent="0.3">
      <c r="B29" s="211"/>
      <c r="C29" s="61" t="s">
        <v>135</v>
      </c>
      <c r="D29" s="62">
        <v>2.5000000000000001E-3</v>
      </c>
      <c r="E29" s="62">
        <v>2.5000000000000001E-3</v>
      </c>
      <c r="F29" s="62">
        <v>5.0000000000000001E-3</v>
      </c>
      <c r="G29" s="62">
        <v>5.0000000000000001E-3</v>
      </c>
    </row>
    <row r="30" spans="2:13" ht="15.75" thickBot="1" x14ac:dyDescent="0.3">
      <c r="B30" s="212"/>
      <c r="C30" s="61" t="s">
        <v>136</v>
      </c>
      <c r="D30" s="62">
        <v>2.5000000000000001E-3</v>
      </c>
      <c r="E30" s="62">
        <v>5.0000000000000001E-3</v>
      </c>
      <c r="F30" s="62">
        <v>5.0000000000000001E-3</v>
      </c>
      <c r="G30" s="62">
        <v>5.0000000000000001E-3</v>
      </c>
    </row>
    <row r="31" spans="2:13" x14ac:dyDescent="0.25">
      <c r="B31" s="82"/>
      <c r="C31" s="5"/>
      <c r="D31" s="83"/>
      <c r="E31" s="83"/>
      <c r="F31" s="83"/>
      <c r="G31" s="83"/>
    </row>
    <row r="32" spans="2:13" ht="15.75" thickBot="1" x14ac:dyDescent="0.3">
      <c r="B32" s="82"/>
      <c r="C32" s="5"/>
      <c r="D32" s="83"/>
      <c r="E32" s="83"/>
      <c r="F32" s="83"/>
      <c r="G32" s="83"/>
    </row>
    <row r="33" spans="2:8" ht="18" thickBot="1" x14ac:dyDescent="0.35">
      <c r="B33" s="12"/>
      <c r="C33" s="5"/>
      <c r="D33" s="136">
        <v>0.4</v>
      </c>
      <c r="E33" s="136">
        <v>0.6</v>
      </c>
      <c r="F33" s="136">
        <v>0.61</v>
      </c>
      <c r="G33" s="136">
        <v>0.91</v>
      </c>
      <c r="H33" s="136">
        <v>1.01</v>
      </c>
    </row>
    <row r="34" spans="2:8" ht="15.75" thickBot="1" x14ac:dyDescent="0.3">
      <c r="B34" s="210" t="s">
        <v>149</v>
      </c>
      <c r="C34" s="61" t="s">
        <v>0</v>
      </c>
      <c r="D34" s="62">
        <v>0.02</v>
      </c>
      <c r="E34" s="62">
        <v>2.5000000000000001E-2</v>
      </c>
      <c r="F34" s="62">
        <v>3.5000000000000003E-2</v>
      </c>
      <c r="G34" s="62">
        <v>4.4999999999999998E-2</v>
      </c>
      <c r="H34" s="62">
        <v>5.5E-2</v>
      </c>
    </row>
    <row r="35" spans="2:8" ht="15.75" thickBot="1" x14ac:dyDescent="0.3">
      <c r="B35" s="211"/>
      <c r="C35" s="61" t="s">
        <v>6</v>
      </c>
      <c r="D35" s="62">
        <v>0.03</v>
      </c>
      <c r="E35" s="62">
        <v>0.04</v>
      </c>
      <c r="F35" s="62">
        <v>0.05</v>
      </c>
      <c r="G35" s="62">
        <v>0.06</v>
      </c>
      <c r="H35" s="62">
        <v>7.0000000000000007E-2</v>
      </c>
    </row>
    <row r="36" spans="2:8" ht="15.75" thickBot="1" x14ac:dyDescent="0.3">
      <c r="B36" s="211"/>
      <c r="C36" s="61" t="s">
        <v>7</v>
      </c>
      <c r="D36" s="62">
        <v>0.01</v>
      </c>
      <c r="E36" s="62">
        <v>1.4999999999999999E-2</v>
      </c>
      <c r="F36" s="62">
        <v>0.02</v>
      </c>
      <c r="G36" s="62">
        <v>2.5000000000000001E-2</v>
      </c>
      <c r="H36" s="62">
        <v>0.03</v>
      </c>
    </row>
    <row r="37" spans="2:8" ht="15.75" thickBot="1" x14ac:dyDescent="0.3">
      <c r="B37" s="212"/>
      <c r="C37" s="61" t="s">
        <v>64</v>
      </c>
      <c r="D37" s="62">
        <v>5.0000000000000001E-3</v>
      </c>
      <c r="E37" s="62">
        <v>7.4999999999999997E-3</v>
      </c>
      <c r="F37" s="62">
        <v>0.01</v>
      </c>
      <c r="G37" s="62">
        <v>1.2500000000000001E-2</v>
      </c>
      <c r="H37" s="62">
        <v>1.4999999999999999E-2</v>
      </c>
    </row>
    <row r="38" spans="2:8" x14ac:dyDescent="0.25">
      <c r="B38" s="82"/>
      <c r="C38" s="5"/>
      <c r="D38" s="83"/>
      <c r="E38" s="83"/>
      <c r="F38" s="83"/>
      <c r="G38" s="83"/>
    </row>
    <row r="39" spans="2:8" x14ac:dyDescent="0.25">
      <c r="F39" s="57" t="s">
        <v>36</v>
      </c>
    </row>
    <row r="42" spans="2:8" x14ac:dyDescent="0.25">
      <c r="B42" s="164" t="s">
        <v>37</v>
      </c>
      <c r="C42" s="164"/>
    </row>
    <row r="45" spans="2:8" x14ac:dyDescent="0.25">
      <c r="B45" s="35" t="s">
        <v>31</v>
      </c>
      <c r="D45" s="57" t="s">
        <v>24</v>
      </c>
      <c r="F45" s="57" t="s">
        <v>23</v>
      </c>
    </row>
  </sheetData>
  <mergeCells count="7">
    <mergeCell ref="B42:C42"/>
    <mergeCell ref="B19:B20"/>
    <mergeCell ref="B14:B16"/>
    <mergeCell ref="B9:B11"/>
    <mergeCell ref="B23:B25"/>
    <mergeCell ref="B28:B30"/>
    <mergeCell ref="B34:B37"/>
  </mergeCells>
  <pageMargins left="0.6" right="0.7" top="0.79" bottom="0.75" header="0.3" footer="0.3"/>
  <pageSetup paperSize="9" scale="6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34B7-C565-4316-AF1B-EDB87EA003A2}">
  <dimension ref="A1:Q37"/>
  <sheetViews>
    <sheetView showGridLines="0" view="pageBreakPreview" zoomScaleNormal="100" zoomScaleSheetLayoutView="100" workbookViewId="0">
      <selection activeCell="H8" sqref="H8"/>
    </sheetView>
  </sheetViews>
  <sheetFormatPr defaultColWidth="9.140625" defaultRowHeight="15" x14ac:dyDescent="0.25"/>
  <cols>
    <col min="1" max="1" width="3.85546875" style="35" customWidth="1"/>
    <col min="2" max="2" width="20.140625" style="35" bestFit="1" customWidth="1"/>
    <col min="3" max="3" width="12.5703125" style="35" customWidth="1"/>
    <col min="4" max="4" width="11.28515625" style="35" customWidth="1"/>
    <col min="5" max="5" width="11.5703125" style="57" bestFit="1" customWidth="1"/>
    <col min="6" max="6" width="11.140625" style="57" customWidth="1"/>
    <col min="7" max="7" width="12.7109375" style="57" customWidth="1"/>
    <col min="8" max="8" width="13.42578125" style="57" customWidth="1"/>
    <col min="9" max="9" width="22.7109375" style="5" bestFit="1" customWidth="1"/>
    <col min="10" max="12" width="9.140625" style="57" bestFit="1" customWidth="1"/>
    <col min="13" max="13" width="8.140625" style="57" customWidth="1"/>
    <col min="14" max="14" width="11.5703125" style="57" bestFit="1" customWidth="1"/>
    <col min="15" max="15" width="9.5703125" style="57" bestFit="1" customWidth="1"/>
    <col min="16" max="17" width="9.140625" style="56"/>
    <col min="18" max="16384" width="9.140625" style="35"/>
  </cols>
  <sheetData>
    <row r="1" spans="1:17" ht="25.15" customHeight="1" x14ac:dyDescent="0.25">
      <c r="B1" s="39"/>
    </row>
    <row r="2" spans="1:17" ht="25.15" customHeight="1" x14ac:dyDescent="0.25"/>
    <row r="3" spans="1:17" ht="25.15" customHeight="1" x14ac:dyDescent="0.25">
      <c r="J3" s="137"/>
      <c r="K3" s="137"/>
      <c r="L3" s="137"/>
      <c r="M3" s="137"/>
      <c r="N3" s="137"/>
    </row>
    <row r="4" spans="1:17" ht="34.9" customHeight="1" x14ac:dyDescent="0.25">
      <c r="B4" s="25" t="s">
        <v>22</v>
      </c>
      <c r="I4" s="64"/>
    </row>
    <row r="5" spans="1:17" x14ac:dyDescent="0.25">
      <c r="B5" s="12"/>
      <c r="G5" s="57" t="s">
        <v>74</v>
      </c>
    </row>
    <row r="6" spans="1:17" x14ac:dyDescent="0.25">
      <c r="B6" s="12"/>
      <c r="G6" s="57" t="s">
        <v>34</v>
      </c>
    </row>
    <row r="7" spans="1:17" ht="15.75" thickBot="1" x14ac:dyDescent="0.3">
      <c r="B7" s="12"/>
      <c r="I7" s="35"/>
      <c r="J7" s="137"/>
      <c r="K7" s="137"/>
      <c r="M7" s="56"/>
      <c r="N7" s="56"/>
      <c r="O7" s="35"/>
    </row>
    <row r="8" spans="1:17" ht="18" thickBot="1" x14ac:dyDescent="0.35">
      <c r="B8" s="12"/>
      <c r="C8" s="5"/>
      <c r="D8" s="136">
        <v>0.4</v>
      </c>
      <c r="E8" s="136">
        <v>0.6</v>
      </c>
      <c r="F8" s="136">
        <v>0.61</v>
      </c>
      <c r="G8" s="136">
        <v>0.91</v>
      </c>
      <c r="H8" s="136">
        <v>1.01</v>
      </c>
      <c r="I8" s="57"/>
      <c r="J8" s="138"/>
      <c r="K8" s="138"/>
      <c r="M8" s="56"/>
      <c r="N8" s="56"/>
      <c r="O8" s="35"/>
      <c r="P8" s="35"/>
      <c r="Q8" s="35"/>
    </row>
    <row r="9" spans="1:17" ht="15.75" thickBot="1" x14ac:dyDescent="0.3">
      <c r="B9" s="210" t="s">
        <v>149</v>
      </c>
      <c r="C9" s="61" t="s">
        <v>0</v>
      </c>
      <c r="D9" s="62">
        <v>0.02</v>
      </c>
      <c r="E9" s="62">
        <v>2.5000000000000001E-2</v>
      </c>
      <c r="F9" s="62">
        <v>3.5000000000000003E-2</v>
      </c>
      <c r="G9" s="62">
        <v>4.4999999999999998E-2</v>
      </c>
      <c r="H9" s="62">
        <v>5.5E-2</v>
      </c>
      <c r="I9" s="213" t="s">
        <v>149</v>
      </c>
      <c r="J9" s="140">
        <v>0.25</v>
      </c>
      <c r="K9" s="140">
        <v>0.3</v>
      </c>
      <c r="L9" s="141">
        <v>0.35</v>
      </c>
      <c r="M9" s="141">
        <v>0.4</v>
      </c>
      <c r="N9" s="142">
        <v>0.45</v>
      </c>
      <c r="Q9" s="35"/>
    </row>
    <row r="10" spans="1:17" ht="15.75" thickBot="1" x14ac:dyDescent="0.3">
      <c r="B10" s="211"/>
      <c r="C10" s="61" t="s">
        <v>6</v>
      </c>
      <c r="D10" s="62">
        <v>0.03</v>
      </c>
      <c r="E10" s="62">
        <v>0.04</v>
      </c>
      <c r="F10" s="62">
        <v>0.05</v>
      </c>
      <c r="G10" s="62">
        <v>0.06</v>
      </c>
      <c r="H10" s="62">
        <v>7.0000000000000007E-2</v>
      </c>
      <c r="I10" s="214"/>
      <c r="J10" s="143">
        <f>+D10+D11+D12</f>
        <v>4.4999999999999998E-2</v>
      </c>
      <c r="K10" s="143">
        <f>+E10+E11+E12</f>
        <v>6.25E-2</v>
      </c>
      <c r="L10" s="144">
        <f>+F10+F11+F12</f>
        <v>0.08</v>
      </c>
      <c r="M10" s="144">
        <f>+G10+G11+G12</f>
        <v>9.7499999999999989E-2</v>
      </c>
      <c r="N10" s="145">
        <f>+H10+H11+H12</f>
        <v>0.115</v>
      </c>
      <c r="Q10" s="35"/>
    </row>
    <row r="11" spans="1:17" ht="15.75" thickBot="1" x14ac:dyDescent="0.3">
      <c r="B11" s="211"/>
      <c r="C11" s="61" t="s">
        <v>7</v>
      </c>
      <c r="D11" s="62">
        <v>0.01</v>
      </c>
      <c r="E11" s="62">
        <v>1.4999999999999999E-2</v>
      </c>
      <c r="F11" s="62">
        <v>0.02</v>
      </c>
      <c r="G11" s="62">
        <v>2.5000000000000001E-2</v>
      </c>
      <c r="H11" s="62">
        <v>0.03</v>
      </c>
      <c r="I11" s="215"/>
      <c r="J11" s="146">
        <f>+J10/J9</f>
        <v>0.18</v>
      </c>
      <c r="K11" s="146">
        <f>+K10/K9</f>
        <v>0.20833333333333334</v>
      </c>
      <c r="L11" s="147">
        <f t="shared" ref="L11:N11" si="0">+L10/L9</f>
        <v>0.22857142857142859</v>
      </c>
      <c r="M11" s="147">
        <f t="shared" si="0"/>
        <v>0.24374999999999997</v>
      </c>
      <c r="N11" s="148">
        <f t="shared" si="0"/>
        <v>0.25555555555555554</v>
      </c>
      <c r="Q11" s="35"/>
    </row>
    <row r="12" spans="1:17" ht="15.75" thickBot="1" x14ac:dyDescent="0.3">
      <c r="B12" s="212"/>
      <c r="C12" s="61" t="s">
        <v>64</v>
      </c>
      <c r="D12" s="62">
        <v>5.0000000000000001E-3</v>
      </c>
      <c r="E12" s="62">
        <v>7.4999999999999997E-3</v>
      </c>
      <c r="F12" s="62">
        <v>0.01</v>
      </c>
      <c r="G12" s="62">
        <v>1.2500000000000001E-2</v>
      </c>
      <c r="H12" s="62">
        <v>1.4999999999999999E-2</v>
      </c>
      <c r="I12" s="57"/>
      <c r="J12" s="138"/>
      <c r="K12" s="138"/>
      <c r="M12" s="56"/>
      <c r="N12" s="56"/>
      <c r="O12" s="35"/>
      <c r="P12" s="35"/>
      <c r="Q12" s="35"/>
    </row>
    <row r="13" spans="1:17" s="57" customFormat="1" x14ac:dyDescent="0.25">
      <c r="A13" s="35"/>
      <c r="B13" s="12"/>
      <c r="C13" s="5"/>
      <c r="D13" s="5"/>
      <c r="E13" s="83"/>
      <c r="F13" s="83"/>
      <c r="G13" s="83"/>
      <c r="H13" s="83"/>
      <c r="I13" s="138"/>
      <c r="M13" s="56"/>
      <c r="N13" s="56"/>
      <c r="O13" s="35"/>
      <c r="P13" s="35"/>
      <c r="Q13" s="35"/>
    </row>
    <row r="14" spans="1:17" s="57" customFormat="1" x14ac:dyDescent="0.25">
      <c r="A14" s="35"/>
      <c r="B14" s="12"/>
      <c r="C14" s="5"/>
      <c r="D14" s="5"/>
      <c r="E14" s="83"/>
      <c r="F14" s="83"/>
      <c r="G14" s="83"/>
      <c r="H14" s="83"/>
      <c r="I14" s="138"/>
      <c r="J14" s="138"/>
      <c r="K14" s="138"/>
      <c r="M14" s="56"/>
      <c r="N14" s="56"/>
      <c r="O14" s="35"/>
      <c r="P14" s="35"/>
      <c r="Q14" s="35"/>
    </row>
    <row r="15" spans="1:17" s="57" customFormat="1" x14ac:dyDescent="0.25">
      <c r="A15" s="35"/>
      <c r="B15" s="12"/>
      <c r="C15" s="5"/>
      <c r="D15" s="5"/>
      <c r="E15" s="58"/>
      <c r="F15" s="58"/>
      <c r="G15" s="58"/>
      <c r="H15" s="58"/>
      <c r="J15" s="137"/>
      <c r="K15" s="137"/>
      <c r="L15" s="137"/>
      <c r="M15" s="56"/>
      <c r="N15" s="137"/>
      <c r="P15" s="35"/>
      <c r="Q15" s="35"/>
    </row>
    <row r="16" spans="1:17" s="57" customFormat="1" x14ac:dyDescent="0.25">
      <c r="A16" s="35"/>
      <c r="B16" s="35"/>
      <c r="C16" s="35"/>
      <c r="D16" s="35"/>
      <c r="G16" s="57" t="s">
        <v>36</v>
      </c>
      <c r="I16" s="138"/>
      <c r="M16" s="56"/>
      <c r="P16" s="35"/>
      <c r="Q16" s="35"/>
    </row>
    <row r="17" spans="1:17" s="57" customFormat="1" x14ac:dyDescent="0.25">
      <c r="A17" s="35"/>
      <c r="B17" s="35"/>
      <c r="C17" s="35"/>
      <c r="D17" s="35"/>
      <c r="I17" s="35"/>
      <c r="P17" s="56"/>
      <c r="Q17" s="56"/>
    </row>
    <row r="18" spans="1:17" s="57" customFormat="1" x14ac:dyDescent="0.25">
      <c r="A18" s="35"/>
      <c r="B18" s="35"/>
      <c r="C18" s="35"/>
      <c r="D18" s="35"/>
      <c r="I18" s="35"/>
      <c r="P18" s="56"/>
      <c r="Q18" s="56"/>
    </row>
    <row r="19" spans="1:17" s="57" customFormat="1" x14ac:dyDescent="0.25">
      <c r="A19" s="35"/>
      <c r="B19" s="164" t="s">
        <v>37</v>
      </c>
      <c r="C19" s="164"/>
      <c r="D19" s="5"/>
      <c r="I19" s="35"/>
      <c r="P19" s="56"/>
      <c r="Q19" s="56"/>
    </row>
    <row r="20" spans="1:17" s="57" customFormat="1" x14ac:dyDescent="0.25">
      <c r="A20" s="35"/>
      <c r="B20" s="35"/>
      <c r="C20" s="35"/>
      <c r="D20" s="35"/>
      <c r="I20" s="35"/>
      <c r="P20" s="56"/>
      <c r="Q20" s="56"/>
    </row>
    <row r="21" spans="1:17" s="57" customFormat="1" x14ac:dyDescent="0.25">
      <c r="A21" s="35"/>
      <c r="B21" s="35"/>
      <c r="C21" s="35"/>
      <c r="D21" s="35"/>
      <c r="I21" s="35"/>
      <c r="P21" s="56"/>
      <c r="Q21" s="56"/>
    </row>
    <row r="22" spans="1:17" s="57" customFormat="1" x14ac:dyDescent="0.25">
      <c r="A22" s="35"/>
      <c r="B22" s="35" t="s">
        <v>31</v>
      </c>
      <c r="C22" s="35"/>
      <c r="D22" s="35"/>
      <c r="E22" s="57" t="s">
        <v>24</v>
      </c>
      <c r="G22" s="57" t="s">
        <v>23</v>
      </c>
      <c r="I22" s="35"/>
      <c r="P22" s="56"/>
      <c r="Q22" s="56"/>
    </row>
    <row r="23" spans="1:17" s="57" customFormat="1" x14ac:dyDescent="0.25">
      <c r="A23" s="35"/>
      <c r="B23" s="35"/>
      <c r="C23" s="35"/>
      <c r="D23" s="35"/>
      <c r="I23" s="35"/>
      <c r="P23" s="56"/>
      <c r="Q23" s="56"/>
    </row>
    <row r="24" spans="1:17" s="57" customFormat="1" x14ac:dyDescent="0.25">
      <c r="A24" s="35"/>
      <c r="B24" s="35"/>
      <c r="C24" s="35"/>
      <c r="D24" s="35"/>
      <c r="I24" s="35"/>
      <c r="P24" s="56"/>
      <c r="Q24" s="56"/>
    </row>
    <row r="25" spans="1:17" s="57" customFormat="1" x14ac:dyDescent="0.25">
      <c r="A25" s="35"/>
      <c r="B25" s="35"/>
      <c r="C25" s="35"/>
      <c r="D25" s="35"/>
      <c r="I25" s="35"/>
      <c r="P25" s="56"/>
      <c r="Q25" s="56"/>
    </row>
    <row r="26" spans="1:17" s="57" customFormat="1" x14ac:dyDescent="0.25">
      <c r="A26" s="35"/>
      <c r="B26" s="35"/>
      <c r="C26" s="35"/>
      <c r="D26" s="35"/>
      <c r="I26" s="35"/>
      <c r="P26" s="56"/>
      <c r="Q26" s="56"/>
    </row>
    <row r="27" spans="1:17" s="57" customFormat="1" x14ac:dyDescent="0.25">
      <c r="A27" s="35"/>
      <c r="B27" s="35"/>
      <c r="C27" s="35"/>
      <c r="D27" s="35"/>
      <c r="I27" s="35"/>
      <c r="P27" s="56"/>
      <c r="Q27" s="56"/>
    </row>
    <row r="28" spans="1:17" s="57" customFormat="1" x14ac:dyDescent="0.25">
      <c r="A28" s="35"/>
      <c r="B28" s="35"/>
      <c r="C28" s="35"/>
      <c r="D28" s="35"/>
      <c r="I28" s="35"/>
      <c r="P28" s="56"/>
      <c r="Q28" s="56"/>
    </row>
    <row r="29" spans="1:17" x14ac:dyDescent="0.25">
      <c r="I29" s="35"/>
    </row>
    <row r="30" spans="1:17" x14ac:dyDescent="0.25">
      <c r="I30" s="35"/>
    </row>
    <row r="31" spans="1:17" x14ac:dyDescent="0.25">
      <c r="I31" s="35"/>
    </row>
    <row r="32" spans="1:17" x14ac:dyDescent="0.25">
      <c r="I32" s="35"/>
    </row>
    <row r="33" spans="9:9" x14ac:dyDescent="0.25">
      <c r="I33" s="35"/>
    </row>
    <row r="34" spans="9:9" x14ac:dyDescent="0.25">
      <c r="I34" s="35"/>
    </row>
    <row r="35" spans="9:9" x14ac:dyDescent="0.25">
      <c r="I35" s="35"/>
    </row>
    <row r="36" spans="9:9" x14ac:dyDescent="0.25">
      <c r="I36" s="35"/>
    </row>
    <row r="37" spans="9:9" x14ac:dyDescent="0.25">
      <c r="I37" s="35"/>
    </row>
  </sheetData>
  <mergeCells count="3">
    <mergeCell ref="B9:B12"/>
    <mergeCell ref="I9:I11"/>
    <mergeCell ref="B19:C19"/>
  </mergeCells>
  <pageMargins left="0.6" right="0.7" top="0.79" bottom="0.75" header="0.3" footer="0.3"/>
  <pageSetup paperSize="9" scale="7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DF4A-1C03-4417-9885-BC92704C9099}">
  <dimension ref="B1:J58"/>
  <sheetViews>
    <sheetView showGridLines="0" view="pageBreakPreview" zoomScaleNormal="100" zoomScaleSheetLayoutView="100" workbookViewId="0">
      <selection activeCell="B7" sqref="B7:B8"/>
    </sheetView>
  </sheetViews>
  <sheetFormatPr defaultColWidth="9.140625" defaultRowHeight="15" x14ac:dyDescent="0.25"/>
  <cols>
    <col min="1" max="1" width="3.85546875" style="35" customWidth="1"/>
    <col min="2" max="2" width="16.42578125" style="35" customWidth="1"/>
    <col min="3" max="3" width="20.85546875" style="35" customWidth="1"/>
    <col min="4" max="4" width="19.28515625" style="57" customWidth="1"/>
    <col min="5" max="5" width="17.28515625" style="57" customWidth="1"/>
    <col min="6" max="6" width="16.140625" style="57" customWidth="1"/>
    <col min="7" max="7" width="8.140625" style="35" customWidth="1"/>
    <col min="8" max="8" width="9.5703125" style="59" bestFit="1" customWidth="1"/>
    <col min="9" max="9" width="11.28515625" style="5" bestFit="1" customWidth="1"/>
    <col min="10" max="10" width="8.140625" style="5" customWidth="1"/>
    <col min="11" max="14" width="8.140625" style="35" customWidth="1"/>
    <col min="15" max="16384" width="9.140625" style="35"/>
  </cols>
  <sheetData>
    <row r="1" spans="2:10" ht="25.15" customHeight="1" x14ac:dyDescent="0.25">
      <c r="B1" s="39"/>
    </row>
    <row r="2" spans="2:10" ht="25.15" customHeight="1" x14ac:dyDescent="0.25"/>
    <row r="3" spans="2:10" ht="25.15" customHeight="1" x14ac:dyDescent="0.25"/>
    <row r="4" spans="2:10" ht="34.9" customHeight="1" x14ac:dyDescent="0.25">
      <c r="B4" s="25" t="s">
        <v>89</v>
      </c>
      <c r="H4" s="35"/>
      <c r="I4" s="35"/>
      <c r="J4" s="35"/>
    </row>
    <row r="5" spans="2:10" x14ac:dyDescent="0.25">
      <c r="B5" s="12"/>
      <c r="F5" s="57" t="s">
        <v>74</v>
      </c>
      <c r="H5" s="35"/>
      <c r="I5" s="35"/>
      <c r="J5" s="35"/>
    </row>
    <row r="6" spans="2:10" x14ac:dyDescent="0.25">
      <c r="B6" s="12"/>
      <c r="F6" s="57" t="s">
        <v>90</v>
      </c>
      <c r="H6" s="35"/>
      <c r="I6" s="35"/>
      <c r="J6" s="35"/>
    </row>
    <row r="7" spans="2:10" x14ac:dyDescent="0.25">
      <c r="B7" s="218" t="s">
        <v>91</v>
      </c>
      <c r="H7" s="35"/>
      <c r="I7" s="35"/>
      <c r="J7" s="35"/>
    </row>
    <row r="8" spans="2:10" ht="15.75" thickBot="1" x14ac:dyDescent="0.3">
      <c r="B8" s="218"/>
      <c r="H8" s="35"/>
      <c r="I8" s="35"/>
      <c r="J8" s="35"/>
    </row>
    <row r="9" spans="2:10" ht="18" thickBot="1" x14ac:dyDescent="0.35">
      <c r="B9" s="12"/>
      <c r="C9" s="5"/>
      <c r="D9" s="63" t="s">
        <v>53</v>
      </c>
      <c r="E9" s="63" t="s">
        <v>4</v>
      </c>
      <c r="F9" s="63" t="s">
        <v>5</v>
      </c>
      <c r="H9" s="35"/>
      <c r="I9" s="35"/>
      <c r="J9" s="35"/>
    </row>
    <row r="10" spans="2:10" ht="15.75" thickBot="1" x14ac:dyDescent="0.3">
      <c r="B10" s="210" t="s">
        <v>0</v>
      </c>
      <c r="C10" s="61" t="s">
        <v>91</v>
      </c>
      <c r="D10" s="62">
        <v>1.4999999999999999E-2</v>
      </c>
      <c r="E10" s="62">
        <v>0.03</v>
      </c>
      <c r="F10" s="62"/>
      <c r="H10" s="35"/>
      <c r="I10" s="35"/>
      <c r="J10" s="35"/>
    </row>
    <row r="11" spans="2:10" ht="15.75" thickBot="1" x14ac:dyDescent="0.3">
      <c r="B11" s="212"/>
      <c r="C11" s="61" t="s">
        <v>1</v>
      </c>
      <c r="D11" s="62">
        <v>0.01</v>
      </c>
      <c r="E11" s="62">
        <v>1.4999999999999999E-2</v>
      </c>
      <c r="F11" s="62"/>
      <c r="H11" s="35"/>
      <c r="I11" s="35"/>
      <c r="J11" s="35"/>
    </row>
    <row r="12" spans="2:10" ht="15.75" thickBot="1" x14ac:dyDescent="0.3">
      <c r="B12" s="12"/>
      <c r="C12" s="5"/>
      <c r="D12" s="58"/>
      <c r="E12" s="58"/>
      <c r="F12" s="58"/>
      <c r="H12" s="35"/>
      <c r="I12" s="35"/>
      <c r="J12" s="35"/>
    </row>
    <row r="13" spans="2:10" ht="18" thickBot="1" x14ac:dyDescent="0.35">
      <c r="B13" s="12"/>
      <c r="C13" s="5"/>
      <c r="D13" s="63" t="s">
        <v>53</v>
      </c>
      <c r="E13" s="63" t="s">
        <v>4</v>
      </c>
      <c r="F13" s="63" t="s">
        <v>5</v>
      </c>
      <c r="H13" s="38"/>
      <c r="I13" s="35"/>
      <c r="J13" s="35"/>
    </row>
    <row r="14" spans="2:10" ht="15.75" thickBot="1" x14ac:dyDescent="0.3">
      <c r="B14" s="210" t="s">
        <v>6</v>
      </c>
      <c r="C14" s="61" t="s">
        <v>91</v>
      </c>
      <c r="D14" s="62">
        <v>0.02</v>
      </c>
      <c r="E14" s="62">
        <v>3.5000000000000003E-2</v>
      </c>
      <c r="F14" s="62"/>
      <c r="H14" s="38"/>
      <c r="I14" s="35"/>
      <c r="J14" s="35"/>
    </row>
    <row r="15" spans="2:10" ht="15.75" thickBot="1" x14ac:dyDescent="0.3">
      <c r="B15" s="212"/>
      <c r="C15" s="61" t="s">
        <v>1</v>
      </c>
      <c r="D15" s="62">
        <v>1.4999999999999999E-2</v>
      </c>
      <c r="E15" s="62">
        <v>2.2499999999999999E-2</v>
      </c>
      <c r="F15" s="62"/>
      <c r="H15" s="38"/>
      <c r="I15" s="35"/>
      <c r="J15" s="35"/>
    </row>
    <row r="16" spans="2:10" ht="15.75" thickBot="1" x14ac:dyDescent="0.3">
      <c r="B16" s="12"/>
      <c r="C16" s="5"/>
      <c r="D16" s="58"/>
      <c r="E16" s="58"/>
      <c r="F16" s="58"/>
      <c r="H16" s="38"/>
      <c r="I16" s="106"/>
      <c r="J16" s="35"/>
    </row>
    <row r="17" spans="2:10" ht="18" thickBot="1" x14ac:dyDescent="0.35">
      <c r="B17" s="12"/>
      <c r="C17" s="5"/>
      <c r="D17" s="63" t="s">
        <v>53</v>
      </c>
      <c r="E17" s="63" t="s">
        <v>4</v>
      </c>
      <c r="F17" s="63" t="s">
        <v>5</v>
      </c>
      <c r="H17" s="101"/>
      <c r="I17" s="35"/>
      <c r="J17" s="35"/>
    </row>
    <row r="18" spans="2:10" ht="15.75" thickBot="1" x14ac:dyDescent="0.3">
      <c r="B18" s="210" t="s">
        <v>26</v>
      </c>
      <c r="C18" s="61" t="s">
        <v>6</v>
      </c>
      <c r="D18" s="62">
        <v>0.02</v>
      </c>
      <c r="E18" s="62">
        <v>0.02</v>
      </c>
      <c r="F18" s="62"/>
      <c r="H18" s="35"/>
      <c r="I18" s="35"/>
      <c r="J18" s="35"/>
    </row>
    <row r="19" spans="2:10" ht="15.75" thickBot="1" x14ac:dyDescent="0.3">
      <c r="B19" s="212"/>
      <c r="C19" s="61" t="s">
        <v>0</v>
      </c>
      <c r="D19" s="62">
        <v>1.4999999999999999E-2</v>
      </c>
      <c r="E19" s="62">
        <v>1.4999999999999999E-2</v>
      </c>
      <c r="F19" s="62">
        <v>1.4999999999999999E-2</v>
      </c>
      <c r="H19" s="35"/>
      <c r="I19" s="35"/>
      <c r="J19" s="35"/>
    </row>
    <row r="20" spans="2:10" ht="15.75" thickBot="1" x14ac:dyDescent="0.3">
      <c r="B20" s="12"/>
      <c r="C20" s="5"/>
      <c r="D20" s="58"/>
      <c r="E20" s="58"/>
      <c r="F20" s="58"/>
      <c r="H20" s="35"/>
      <c r="I20" s="35"/>
      <c r="J20" s="35"/>
    </row>
    <row r="21" spans="2:10" ht="18" thickBot="1" x14ac:dyDescent="0.35">
      <c r="B21" s="12"/>
      <c r="C21" s="5"/>
      <c r="D21" s="63" t="s">
        <v>53</v>
      </c>
      <c r="E21" s="63" t="s">
        <v>4</v>
      </c>
      <c r="F21" s="63" t="s">
        <v>5</v>
      </c>
      <c r="H21" s="35"/>
      <c r="I21" s="35"/>
      <c r="J21" s="35"/>
    </row>
    <row r="22" spans="2:10" ht="15.75" thickBot="1" x14ac:dyDescent="0.3">
      <c r="B22" s="210" t="s">
        <v>7</v>
      </c>
      <c r="C22" s="61" t="s">
        <v>91</v>
      </c>
      <c r="D22" s="62">
        <v>7.4999999999999997E-3</v>
      </c>
      <c r="E22" s="62">
        <v>1.2500000000000001E-2</v>
      </c>
      <c r="F22" s="62"/>
      <c r="H22" s="35"/>
      <c r="I22" s="35"/>
      <c r="J22" s="35"/>
    </row>
    <row r="23" spans="2:10" ht="15.75" thickBot="1" x14ac:dyDescent="0.3">
      <c r="B23" s="212"/>
      <c r="C23" s="61" t="s">
        <v>1</v>
      </c>
      <c r="D23" s="62">
        <v>5.0000000000000001E-3</v>
      </c>
      <c r="E23" s="62">
        <v>7.4999999999999997E-3</v>
      </c>
      <c r="F23" s="62"/>
      <c r="H23" s="35"/>
      <c r="I23" s="35"/>
      <c r="J23" s="35"/>
    </row>
    <row r="24" spans="2:10" ht="15.75" thickBot="1" x14ac:dyDescent="0.3">
      <c r="B24" s="82"/>
      <c r="C24" s="5"/>
      <c r="D24" s="83"/>
      <c r="E24" s="83"/>
      <c r="F24" s="83"/>
      <c r="H24" s="35"/>
      <c r="I24" s="35"/>
      <c r="J24" s="35"/>
    </row>
    <row r="25" spans="2:10" ht="18" thickBot="1" x14ac:dyDescent="0.35">
      <c r="B25" s="12"/>
      <c r="C25" s="5"/>
      <c r="D25" s="63" t="s">
        <v>53</v>
      </c>
      <c r="E25" s="63" t="s">
        <v>4</v>
      </c>
      <c r="F25" s="63" t="s">
        <v>5</v>
      </c>
      <c r="H25" s="35"/>
      <c r="I25" s="35"/>
      <c r="J25" s="35"/>
    </row>
    <row r="26" spans="2:10" ht="15.75" thickBot="1" x14ac:dyDescent="0.3">
      <c r="B26" s="210" t="s">
        <v>64</v>
      </c>
      <c r="C26" s="61" t="s">
        <v>91</v>
      </c>
      <c r="D26" s="62">
        <v>2.5000000000000001E-3</v>
      </c>
      <c r="E26" s="62">
        <v>5.0000000000000001E-3</v>
      </c>
      <c r="F26" s="62"/>
      <c r="H26" s="35"/>
      <c r="I26" s="35"/>
      <c r="J26" s="35"/>
    </row>
    <row r="27" spans="2:10" ht="15.75" thickBot="1" x14ac:dyDescent="0.3">
      <c r="B27" s="212"/>
      <c r="C27" s="61" t="s">
        <v>1</v>
      </c>
      <c r="D27" s="62">
        <v>2.5000000000000001E-3</v>
      </c>
      <c r="E27" s="62">
        <v>5.0000000000000001E-3</v>
      </c>
      <c r="F27" s="62"/>
      <c r="H27" s="35"/>
      <c r="I27" s="35"/>
      <c r="J27" s="35"/>
    </row>
    <row r="28" spans="2:10" x14ac:dyDescent="0.25">
      <c r="B28" s="82"/>
      <c r="C28" s="5"/>
      <c r="D28" s="83"/>
      <c r="E28" s="83"/>
      <c r="F28" s="83"/>
      <c r="H28" s="35"/>
      <c r="I28" s="35"/>
      <c r="J28" s="35"/>
    </row>
    <row r="29" spans="2:10" x14ac:dyDescent="0.25">
      <c r="B29" s="180" t="s">
        <v>2</v>
      </c>
      <c r="C29" s="39"/>
      <c r="D29" s="39"/>
      <c r="E29" s="39"/>
      <c r="F29" s="39"/>
      <c r="H29" s="35"/>
      <c r="I29" s="35"/>
      <c r="J29" s="35"/>
    </row>
    <row r="30" spans="2:10" x14ac:dyDescent="0.25">
      <c r="B30" s="180"/>
      <c r="C30" s="39"/>
      <c r="D30" s="39"/>
      <c r="E30" s="39"/>
      <c r="F30" s="39"/>
      <c r="H30" s="35"/>
      <c r="I30" s="35"/>
      <c r="J30" s="35"/>
    </row>
    <row r="31" spans="2:10" x14ac:dyDescent="0.25">
      <c r="B31" s="39"/>
      <c r="C31" s="23" t="s">
        <v>92</v>
      </c>
      <c r="D31" s="23" t="s">
        <v>93</v>
      </c>
      <c r="E31" s="23" t="s">
        <v>50</v>
      </c>
      <c r="F31" s="23" t="s">
        <v>94</v>
      </c>
      <c r="H31" s="35"/>
      <c r="I31" s="35"/>
      <c r="J31" s="35"/>
    </row>
    <row r="32" spans="2:10" x14ac:dyDescent="0.25">
      <c r="B32" s="179" t="s">
        <v>6</v>
      </c>
      <c r="C32" s="185">
        <v>0.02</v>
      </c>
      <c r="D32" s="184">
        <v>0.03</v>
      </c>
      <c r="E32" s="184">
        <v>0.04</v>
      </c>
      <c r="F32" s="181">
        <v>0.05</v>
      </c>
      <c r="H32" s="35"/>
      <c r="I32" s="35"/>
      <c r="J32" s="35"/>
    </row>
    <row r="33" spans="2:10" x14ac:dyDescent="0.25">
      <c r="B33" s="179"/>
      <c r="C33" s="185"/>
      <c r="D33" s="186"/>
      <c r="E33" s="186"/>
      <c r="F33" s="187"/>
      <c r="H33" s="35"/>
      <c r="I33" s="35"/>
      <c r="J33" s="35"/>
    </row>
    <row r="34" spans="2:10" x14ac:dyDescent="0.25">
      <c r="B34" s="39"/>
      <c r="C34" s="39"/>
      <c r="D34" s="39"/>
      <c r="E34" s="39"/>
      <c r="F34" s="39"/>
      <c r="H34" s="35"/>
      <c r="I34" s="35"/>
      <c r="J34" s="35"/>
    </row>
    <row r="35" spans="2:10" x14ac:dyDescent="0.25">
      <c r="B35" s="39"/>
      <c r="C35" s="39"/>
      <c r="D35" s="39"/>
      <c r="E35" s="39"/>
      <c r="F35" s="39"/>
      <c r="H35" s="35"/>
      <c r="I35" s="35"/>
      <c r="J35" s="35"/>
    </row>
    <row r="36" spans="2:10" x14ac:dyDescent="0.25">
      <c r="B36" s="179" t="s">
        <v>0</v>
      </c>
      <c r="C36" s="216">
        <v>1.4999999999999999E-2</v>
      </c>
      <c r="D36" s="184">
        <v>2.2499999999999999E-2</v>
      </c>
      <c r="E36" s="184">
        <v>3.2500000000000001E-2</v>
      </c>
      <c r="F36" s="181">
        <v>0.04</v>
      </c>
      <c r="H36" s="35"/>
      <c r="I36" s="35"/>
      <c r="J36" s="35"/>
    </row>
    <row r="37" spans="2:10" x14ac:dyDescent="0.25">
      <c r="B37" s="179"/>
      <c r="C37" s="217"/>
      <c r="D37" s="182"/>
      <c r="E37" s="182"/>
      <c r="F37" s="182"/>
      <c r="H37" s="35"/>
      <c r="I37" s="35"/>
      <c r="J37" s="35"/>
    </row>
    <row r="38" spans="2:10" x14ac:dyDescent="0.25">
      <c r="B38" s="39"/>
      <c r="C38" s="39"/>
      <c r="D38" s="39"/>
      <c r="E38" s="39"/>
      <c r="F38" s="39"/>
      <c r="H38" s="35"/>
      <c r="I38" s="35"/>
      <c r="J38" s="35"/>
    </row>
    <row r="39" spans="2:10" x14ac:dyDescent="0.25">
      <c r="B39" s="39"/>
      <c r="C39" s="39"/>
      <c r="D39" s="39"/>
      <c r="E39" s="39"/>
      <c r="F39" s="39"/>
      <c r="H39" s="35"/>
      <c r="I39" s="35"/>
      <c r="J39" s="35"/>
    </row>
    <row r="40" spans="2:10" x14ac:dyDescent="0.25">
      <c r="B40" s="179" t="s">
        <v>7</v>
      </c>
      <c r="C40" s="184">
        <v>5.0000000000000001E-3</v>
      </c>
      <c r="D40" s="184">
        <v>7.4999999999999997E-3</v>
      </c>
      <c r="E40" s="184">
        <v>1.2500000000000001E-2</v>
      </c>
      <c r="F40" s="184">
        <v>1.4999999999999999E-2</v>
      </c>
      <c r="H40" s="35"/>
      <c r="I40" s="35"/>
      <c r="J40" s="35"/>
    </row>
    <row r="41" spans="2:10" x14ac:dyDescent="0.25">
      <c r="B41" s="179"/>
      <c r="C41" s="182"/>
      <c r="D41" s="182"/>
      <c r="E41" s="186"/>
      <c r="F41" s="182"/>
      <c r="H41" s="35"/>
      <c r="I41" s="35"/>
      <c r="J41" s="35"/>
    </row>
    <row r="42" spans="2:10" x14ac:dyDescent="0.25">
      <c r="B42" s="39"/>
      <c r="C42" s="39"/>
      <c r="D42" s="39"/>
      <c r="E42" s="39"/>
      <c r="F42" s="39"/>
      <c r="H42" s="35"/>
      <c r="I42" s="35"/>
      <c r="J42" s="35"/>
    </row>
    <row r="43" spans="2:10" x14ac:dyDescent="0.25">
      <c r="B43" s="179" t="s">
        <v>15</v>
      </c>
      <c r="C43" s="184">
        <v>2.5000000000000001E-3</v>
      </c>
      <c r="D43" s="184">
        <v>4.0000000000000001E-3</v>
      </c>
      <c r="E43" s="184">
        <v>6.0000000000000001E-3</v>
      </c>
      <c r="F43" s="184">
        <v>0.01</v>
      </c>
      <c r="H43" s="35"/>
      <c r="I43" s="35"/>
      <c r="J43" s="35"/>
    </row>
    <row r="44" spans="2:10" x14ac:dyDescent="0.25">
      <c r="B44" s="179"/>
      <c r="C44" s="182"/>
      <c r="D44" s="182"/>
      <c r="E44" s="186"/>
      <c r="F44" s="182"/>
      <c r="H44" s="35"/>
      <c r="I44" s="35"/>
      <c r="J44" s="35"/>
    </row>
    <row r="45" spans="2:10" x14ac:dyDescent="0.25">
      <c r="B45"/>
      <c r="C45"/>
      <c r="D45"/>
      <c r="E45"/>
      <c r="F45"/>
      <c r="H45" s="35"/>
      <c r="I45" s="35"/>
      <c r="J45" s="35"/>
    </row>
    <row r="46" spans="2:10" x14ac:dyDescent="0.25">
      <c r="B46" s="179" t="s">
        <v>26</v>
      </c>
      <c r="C46" s="49" t="s">
        <v>6</v>
      </c>
      <c r="D46" s="21">
        <v>0.02</v>
      </c>
      <c r="E46"/>
      <c r="F46"/>
      <c r="H46" s="35"/>
      <c r="I46" s="35"/>
      <c r="J46" s="35"/>
    </row>
    <row r="47" spans="2:10" x14ac:dyDescent="0.25">
      <c r="B47" s="179"/>
      <c r="C47" s="49" t="s">
        <v>0</v>
      </c>
      <c r="D47" s="21">
        <v>1.4999999999999999E-2</v>
      </c>
      <c r="E47"/>
      <c r="F47"/>
      <c r="H47" s="35"/>
      <c r="I47" s="35"/>
      <c r="J47" s="35"/>
    </row>
    <row r="48" spans="2:10" x14ac:dyDescent="0.25">
      <c r="B48" s="82"/>
      <c r="C48" s="5"/>
      <c r="D48" s="83"/>
      <c r="E48" s="83"/>
      <c r="F48" s="83"/>
      <c r="H48" s="35"/>
      <c r="I48" s="35"/>
      <c r="J48" s="35"/>
    </row>
    <row r="49" spans="2:10" x14ac:dyDescent="0.25">
      <c r="B49" s="82"/>
      <c r="C49" s="5"/>
      <c r="D49" s="83"/>
      <c r="E49" s="83"/>
      <c r="F49" s="83"/>
      <c r="H49" s="35"/>
      <c r="I49" s="35"/>
      <c r="J49" s="35"/>
    </row>
    <row r="50" spans="2:10" x14ac:dyDescent="0.25">
      <c r="B50" s="82"/>
      <c r="C50" s="5"/>
      <c r="D50" s="83"/>
      <c r="E50" s="83"/>
      <c r="F50" s="83"/>
      <c r="H50" s="35"/>
      <c r="I50" s="35"/>
      <c r="J50" s="35"/>
    </row>
    <row r="51" spans="2:10" x14ac:dyDescent="0.25">
      <c r="B51" s="82"/>
      <c r="C51" s="5"/>
      <c r="D51" s="83"/>
      <c r="E51" s="83"/>
      <c r="F51" s="83"/>
      <c r="H51" s="35"/>
      <c r="I51" s="35"/>
      <c r="J51" s="35"/>
    </row>
    <row r="52" spans="2:10" x14ac:dyDescent="0.25">
      <c r="F52" s="57" t="s">
        <v>36</v>
      </c>
      <c r="H52" s="35"/>
      <c r="I52" s="35"/>
      <c r="J52" s="35"/>
    </row>
    <row r="53" spans="2:10" x14ac:dyDescent="0.25">
      <c r="H53" s="35"/>
      <c r="I53" s="35"/>
      <c r="J53" s="35"/>
    </row>
    <row r="54" spans="2:10" x14ac:dyDescent="0.25">
      <c r="H54" s="35"/>
      <c r="I54" s="35"/>
      <c r="J54" s="35"/>
    </row>
    <row r="55" spans="2:10" x14ac:dyDescent="0.25">
      <c r="B55" s="164" t="s">
        <v>37</v>
      </c>
      <c r="C55" s="164"/>
      <c r="H55" s="35"/>
      <c r="I55" s="35"/>
      <c r="J55" s="35"/>
    </row>
    <row r="56" spans="2:10" x14ac:dyDescent="0.25">
      <c r="H56" s="35"/>
      <c r="I56" s="35"/>
      <c r="J56" s="35"/>
    </row>
    <row r="57" spans="2:10" x14ac:dyDescent="0.25">
      <c r="H57" s="35"/>
      <c r="I57" s="35"/>
      <c r="J57" s="35"/>
    </row>
    <row r="58" spans="2:10" x14ac:dyDescent="0.25">
      <c r="B58" s="35" t="s">
        <v>31</v>
      </c>
      <c r="D58" s="57" t="s">
        <v>24</v>
      </c>
      <c r="F58" s="57" t="s">
        <v>23</v>
      </c>
    </row>
  </sheetData>
  <mergeCells count="29">
    <mergeCell ref="B7:B8"/>
    <mergeCell ref="B18:B19"/>
    <mergeCell ref="B29:B30"/>
    <mergeCell ref="B32:B33"/>
    <mergeCell ref="C32:C33"/>
    <mergeCell ref="B26:B27"/>
    <mergeCell ref="B22:B23"/>
    <mergeCell ref="B14:B15"/>
    <mergeCell ref="B10:B11"/>
    <mergeCell ref="E32:E33"/>
    <mergeCell ref="F32:F33"/>
    <mergeCell ref="B36:B37"/>
    <mergeCell ref="C36:C37"/>
    <mergeCell ref="D36:D37"/>
    <mergeCell ref="E36:E37"/>
    <mergeCell ref="F36:F37"/>
    <mergeCell ref="D32:D33"/>
    <mergeCell ref="E40:E41"/>
    <mergeCell ref="F40:F41"/>
    <mergeCell ref="B43:B44"/>
    <mergeCell ref="C43:C44"/>
    <mergeCell ref="D43:D44"/>
    <mergeCell ref="E43:E44"/>
    <mergeCell ref="F43:F44"/>
    <mergeCell ref="B46:B47"/>
    <mergeCell ref="B55:C55"/>
    <mergeCell ref="B40:B41"/>
    <mergeCell ref="C40:C41"/>
    <mergeCell ref="D40:D41"/>
  </mergeCells>
  <pageMargins left="0.6" right="0.7" top="0.79" bottom="0.75" header="0.3" footer="0.3"/>
  <pageSetup paperSize="9" scale="78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E964-298A-4CE8-BD01-9E65CE3FACC2}">
  <sheetPr>
    <pageSetUpPr fitToPage="1"/>
  </sheetPr>
  <dimension ref="A6:H35"/>
  <sheetViews>
    <sheetView view="pageBreakPreview" topLeftCell="A6" zoomScaleNormal="100" zoomScaleSheetLayoutView="100" workbookViewId="0">
      <selection activeCell="J12" sqref="J12"/>
    </sheetView>
  </sheetViews>
  <sheetFormatPr defaultRowHeight="15" x14ac:dyDescent="0.25"/>
  <cols>
    <col min="1" max="1" width="17.85546875" customWidth="1"/>
    <col min="2" max="2" width="9.85546875" customWidth="1"/>
    <col min="3" max="3" width="15.5703125" style="17" customWidth="1"/>
    <col min="4" max="4" width="14.42578125" customWidth="1"/>
    <col min="5" max="5" width="24.7109375" customWidth="1"/>
    <col min="6" max="6" width="15.42578125" customWidth="1"/>
  </cols>
  <sheetData>
    <row r="6" spans="1:8" ht="22.5" x14ac:dyDescent="0.55000000000000004">
      <c r="A6" s="53" t="s">
        <v>48</v>
      </c>
      <c r="C6" s="74"/>
      <c r="D6" s="51"/>
      <c r="E6" s="50"/>
    </row>
    <row r="7" spans="1:8" x14ac:dyDescent="0.25">
      <c r="E7" s="35" t="s">
        <v>74</v>
      </c>
      <c r="G7" s="35"/>
      <c r="H7" s="35"/>
    </row>
    <row r="8" spans="1:8" ht="22.5" x14ac:dyDescent="0.55000000000000004">
      <c r="C8" s="74"/>
      <c r="D8" s="51"/>
      <c r="E8" s="52" t="s">
        <v>49</v>
      </c>
      <c r="F8" s="50"/>
      <c r="G8" s="50"/>
      <c r="H8" s="50"/>
    </row>
    <row r="11" spans="1:8" x14ac:dyDescent="0.25">
      <c r="A11" s="5"/>
      <c r="B11" s="5"/>
      <c r="C11" s="72" t="s">
        <v>98</v>
      </c>
      <c r="D11" s="72" t="s">
        <v>95</v>
      </c>
      <c r="E11" s="72" t="s">
        <v>96</v>
      </c>
      <c r="F11" s="72" t="s">
        <v>97</v>
      </c>
      <c r="G11" s="1"/>
    </row>
    <row r="12" spans="1:8" x14ac:dyDescent="0.25">
      <c r="A12" s="107" t="s">
        <v>0</v>
      </c>
      <c r="B12" s="2" t="s">
        <v>1</v>
      </c>
      <c r="C12" s="21">
        <v>5.0000000000000001E-3</v>
      </c>
      <c r="D12" s="3">
        <v>0.01</v>
      </c>
      <c r="E12" s="3">
        <v>1.2500000000000001E-2</v>
      </c>
      <c r="F12" s="3">
        <v>1.7500000000000002E-2</v>
      </c>
      <c r="G12" s="1">
        <v>0.1</v>
      </c>
      <c r="H12" s="111">
        <v>0.13</v>
      </c>
    </row>
    <row r="13" spans="1:8" x14ac:dyDescent="0.25">
      <c r="A13" s="5"/>
      <c r="B13" s="5"/>
      <c r="C13" s="12"/>
      <c r="D13" s="5"/>
      <c r="E13" s="5"/>
      <c r="G13" s="1">
        <f>+E16+E24+E27</f>
        <v>3.0000000000000002E-2</v>
      </c>
      <c r="H13" s="1">
        <f>+F16+F24+F27</f>
        <v>3.7499999999999999E-2</v>
      </c>
    </row>
    <row r="14" spans="1:8" x14ac:dyDescent="0.25">
      <c r="A14" s="5"/>
      <c r="B14" s="5"/>
      <c r="C14" s="12"/>
      <c r="D14" s="5"/>
      <c r="E14" s="5"/>
      <c r="G14">
        <f>+G13/G12</f>
        <v>0.3</v>
      </c>
      <c r="H14">
        <f>+H13/H12</f>
        <v>0.28846153846153844</v>
      </c>
    </row>
    <row r="15" spans="1:8" x14ac:dyDescent="0.25">
      <c r="A15" s="5"/>
      <c r="B15" s="5"/>
      <c r="C15" s="72" t="s">
        <v>98</v>
      </c>
      <c r="D15" s="72" t="s">
        <v>95</v>
      </c>
      <c r="E15" s="72" t="s">
        <v>96</v>
      </c>
      <c r="F15" s="72" t="s">
        <v>97</v>
      </c>
    </row>
    <row r="16" spans="1:8" x14ac:dyDescent="0.25">
      <c r="A16" s="54" t="s">
        <v>6</v>
      </c>
      <c r="B16" s="2" t="s">
        <v>1</v>
      </c>
      <c r="C16" s="21">
        <v>7.4999999999999997E-3</v>
      </c>
      <c r="D16" s="3">
        <v>1.4999999999999999E-2</v>
      </c>
      <c r="E16" s="3">
        <v>1.7500000000000002E-2</v>
      </c>
      <c r="F16" s="3">
        <v>2.2499999999999999E-2</v>
      </c>
    </row>
    <row r="17" spans="1:6" x14ac:dyDescent="0.25">
      <c r="A17" s="5"/>
      <c r="B17" s="5"/>
      <c r="C17" s="12"/>
      <c r="D17" s="5"/>
      <c r="E17" s="5"/>
    </row>
    <row r="18" spans="1:6" x14ac:dyDescent="0.25">
      <c r="A18" s="5"/>
      <c r="B18" s="5"/>
      <c r="C18" s="72" t="s">
        <v>3</v>
      </c>
      <c r="D18" s="72" t="s">
        <v>4</v>
      </c>
      <c r="E18" s="72" t="s">
        <v>5</v>
      </c>
    </row>
    <row r="19" spans="1:6" x14ac:dyDescent="0.25">
      <c r="A19" s="172" t="s">
        <v>26</v>
      </c>
      <c r="B19" s="2" t="s">
        <v>6</v>
      </c>
      <c r="C19" s="21">
        <v>0.01</v>
      </c>
      <c r="D19" s="3">
        <v>0.02</v>
      </c>
      <c r="E19" s="3"/>
    </row>
    <row r="20" spans="1:6" x14ac:dyDescent="0.25">
      <c r="A20" s="172"/>
      <c r="B20" s="2" t="s">
        <v>0</v>
      </c>
      <c r="C20" s="21">
        <v>0.01</v>
      </c>
      <c r="D20" s="3">
        <v>1.4999999999999999E-2</v>
      </c>
      <c r="E20" s="3"/>
    </row>
    <row r="21" spans="1:6" x14ac:dyDescent="0.25">
      <c r="A21" s="5"/>
      <c r="B21" s="5"/>
      <c r="C21" s="12"/>
      <c r="D21" s="5"/>
      <c r="E21" s="5"/>
    </row>
    <row r="22" spans="1:6" x14ac:dyDescent="0.25">
      <c r="A22" s="5"/>
      <c r="B22" s="5"/>
      <c r="C22" s="12"/>
      <c r="D22" s="5"/>
      <c r="E22" s="5"/>
    </row>
    <row r="23" spans="1:6" x14ac:dyDescent="0.25">
      <c r="A23" s="5"/>
      <c r="B23" s="5"/>
      <c r="C23" s="72" t="s">
        <v>98</v>
      </c>
      <c r="D23" s="72" t="s">
        <v>95</v>
      </c>
      <c r="E23" s="72" t="s">
        <v>96</v>
      </c>
      <c r="F23" s="72" t="s">
        <v>97</v>
      </c>
    </row>
    <row r="24" spans="1:6" x14ac:dyDescent="0.25">
      <c r="A24" s="108" t="s">
        <v>7</v>
      </c>
      <c r="B24" s="2" t="s">
        <v>1</v>
      </c>
      <c r="C24" s="21">
        <v>2.5000000000000001E-3</v>
      </c>
      <c r="D24" s="3">
        <v>5.0000000000000001E-3</v>
      </c>
      <c r="E24" s="3">
        <v>7.4999999999999997E-3</v>
      </c>
      <c r="F24" s="3">
        <v>0.01</v>
      </c>
    </row>
    <row r="26" spans="1:6" x14ac:dyDescent="0.25">
      <c r="B26" s="5"/>
      <c r="C26" s="72" t="s">
        <v>98</v>
      </c>
      <c r="D26" s="72" t="s">
        <v>95</v>
      </c>
      <c r="E26" s="72" t="s">
        <v>96</v>
      </c>
      <c r="F26" s="72" t="s">
        <v>97</v>
      </c>
    </row>
    <row r="27" spans="1:6" x14ac:dyDescent="0.25">
      <c r="A27" s="109" t="s">
        <v>15</v>
      </c>
      <c r="B27" s="2" t="s">
        <v>1</v>
      </c>
      <c r="C27" s="110">
        <v>1.25E-3</v>
      </c>
      <c r="D27" s="3">
        <v>2.5000000000000001E-3</v>
      </c>
      <c r="E27" s="3">
        <v>5.0000000000000001E-3</v>
      </c>
      <c r="F27" s="3">
        <v>5.0000000000000001E-3</v>
      </c>
    </row>
    <row r="29" spans="1:6" x14ac:dyDescent="0.25">
      <c r="A29" s="35"/>
      <c r="B29" s="35"/>
      <c r="C29" s="39"/>
      <c r="D29" s="35"/>
      <c r="E29" s="35" t="s">
        <v>36</v>
      </c>
    </row>
    <row r="30" spans="1:6" x14ac:dyDescent="0.25">
      <c r="A30" s="35"/>
      <c r="B30" s="35"/>
      <c r="C30" s="39"/>
      <c r="D30" s="35"/>
      <c r="E30" s="35"/>
    </row>
    <row r="31" spans="1:6" x14ac:dyDescent="0.25">
      <c r="A31" s="35"/>
      <c r="B31" s="35"/>
      <c r="C31" s="39"/>
      <c r="D31" s="35"/>
      <c r="E31" s="35"/>
    </row>
    <row r="32" spans="1:6" x14ac:dyDescent="0.25">
      <c r="A32" s="35"/>
      <c r="B32" s="164" t="s">
        <v>37</v>
      </c>
      <c r="C32" s="164"/>
      <c r="D32" s="35"/>
      <c r="E32" s="35"/>
    </row>
    <row r="33" spans="1:5" x14ac:dyDescent="0.25">
      <c r="A33" s="35"/>
      <c r="B33" s="35"/>
      <c r="C33" s="39"/>
      <c r="D33" s="35"/>
      <c r="E33" s="35"/>
    </row>
    <row r="34" spans="1:5" x14ac:dyDescent="0.25">
      <c r="A34" s="35"/>
      <c r="B34" s="35"/>
      <c r="C34" s="39"/>
      <c r="D34" s="35"/>
      <c r="E34" s="35"/>
    </row>
    <row r="35" spans="1:5" x14ac:dyDescent="0.25">
      <c r="A35" s="35" t="s">
        <v>31</v>
      </c>
      <c r="B35" s="35"/>
      <c r="C35" s="39" t="s">
        <v>24</v>
      </c>
      <c r="D35" s="35"/>
      <c r="E35" s="35" t="s">
        <v>23</v>
      </c>
    </row>
  </sheetData>
  <mergeCells count="2">
    <mergeCell ref="A19:A20"/>
    <mergeCell ref="B32:C32"/>
  </mergeCells>
  <pageMargins left="0.7" right="0.7" top="0.75" bottom="0.75" header="0.3" footer="0.3"/>
  <pageSetup paperSize="9" scale="89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9BF4-26CE-4506-B32D-9FAB6B6B5076}">
  <sheetPr>
    <pageSetUpPr fitToPage="1"/>
  </sheetPr>
  <dimension ref="A6:H35"/>
  <sheetViews>
    <sheetView view="pageBreakPreview" zoomScaleNormal="100" zoomScaleSheetLayoutView="100" workbookViewId="0">
      <selection activeCell="F5" sqref="F5"/>
    </sheetView>
  </sheetViews>
  <sheetFormatPr defaultRowHeight="15" x14ac:dyDescent="0.25"/>
  <cols>
    <col min="1" max="1" width="17.85546875" customWidth="1"/>
    <col min="2" max="2" width="9.85546875" customWidth="1"/>
    <col min="3" max="3" width="14.7109375" style="17" bestFit="1" customWidth="1"/>
    <col min="4" max="4" width="17.28515625" bestFit="1" customWidth="1"/>
    <col min="5" max="5" width="24.7109375" customWidth="1"/>
    <col min="6" max="6" width="15.42578125" customWidth="1"/>
  </cols>
  <sheetData>
    <row r="6" spans="1:8" ht="22.5" x14ac:dyDescent="0.55000000000000004">
      <c r="A6" s="53" t="s">
        <v>101</v>
      </c>
      <c r="C6" s="74"/>
      <c r="D6" s="51"/>
      <c r="E6" s="50"/>
    </row>
    <row r="7" spans="1:8" x14ac:dyDescent="0.25">
      <c r="E7" s="35" t="s">
        <v>74</v>
      </c>
      <c r="G7" s="35"/>
      <c r="H7" s="35"/>
    </row>
    <row r="8" spans="1:8" ht="22.5" x14ac:dyDescent="0.55000000000000004">
      <c r="C8" s="74"/>
      <c r="D8" s="51"/>
      <c r="E8" s="52" t="s">
        <v>100</v>
      </c>
      <c r="F8" s="50"/>
      <c r="G8" s="50"/>
      <c r="H8" s="50"/>
    </row>
    <row r="11" spans="1:8" x14ac:dyDescent="0.25">
      <c r="A11" s="5"/>
      <c r="B11" s="5"/>
      <c r="C11" s="113" t="s">
        <v>102</v>
      </c>
      <c r="D11" s="72" t="s">
        <v>103</v>
      </c>
      <c r="E11" s="72" t="s">
        <v>104</v>
      </c>
      <c r="F11" s="72" t="s">
        <v>105</v>
      </c>
      <c r="G11" s="1"/>
    </row>
    <row r="12" spans="1:8" x14ac:dyDescent="0.25">
      <c r="A12" s="107" t="s">
        <v>0</v>
      </c>
      <c r="B12" s="2"/>
      <c r="C12" s="21">
        <v>5.0000000000000001E-3</v>
      </c>
      <c r="D12" s="3">
        <v>0.01</v>
      </c>
      <c r="E12" s="3">
        <v>1.4999999999999999E-2</v>
      </c>
      <c r="F12" s="3">
        <v>0.02</v>
      </c>
      <c r="G12" s="1"/>
      <c r="H12" s="111"/>
    </row>
    <row r="13" spans="1:8" x14ac:dyDescent="0.25">
      <c r="A13" s="5"/>
      <c r="B13" s="5"/>
      <c r="C13" s="12"/>
      <c r="D13" s="5"/>
      <c r="E13" s="5"/>
      <c r="G13" s="1"/>
      <c r="H13" s="1"/>
    </row>
    <row r="14" spans="1:8" x14ac:dyDescent="0.25">
      <c r="A14" s="5"/>
      <c r="B14" s="5"/>
      <c r="C14" s="12"/>
      <c r="D14" s="5"/>
      <c r="E14" s="5"/>
    </row>
    <row r="15" spans="1:8" x14ac:dyDescent="0.25">
      <c r="A15" s="5"/>
      <c r="B15" s="5"/>
      <c r="C15" s="72" t="s">
        <v>102</v>
      </c>
      <c r="D15" s="72" t="s">
        <v>103</v>
      </c>
      <c r="E15" s="72" t="s">
        <v>104</v>
      </c>
      <c r="F15" s="72" t="s">
        <v>105</v>
      </c>
    </row>
    <row r="16" spans="1:8" x14ac:dyDescent="0.25">
      <c r="A16" s="54" t="s">
        <v>6</v>
      </c>
      <c r="B16" s="2" t="s">
        <v>1</v>
      </c>
      <c r="C16" s="21">
        <v>1.2500000000000001E-2</v>
      </c>
      <c r="D16" s="3">
        <v>1.7500000000000002E-2</v>
      </c>
      <c r="E16" s="3">
        <v>2.5000000000000001E-2</v>
      </c>
      <c r="F16" s="3">
        <v>3.5000000000000003E-2</v>
      </c>
    </row>
    <row r="17" spans="1:6" x14ac:dyDescent="0.25">
      <c r="A17" s="5"/>
      <c r="B17" s="5"/>
      <c r="C17" s="12"/>
      <c r="D17" s="5"/>
      <c r="E17" s="5"/>
    </row>
    <row r="18" spans="1:6" x14ac:dyDescent="0.25">
      <c r="A18" s="5"/>
      <c r="B18" s="5"/>
      <c r="C18" s="72" t="s">
        <v>3</v>
      </c>
      <c r="D18" s="72" t="s">
        <v>4</v>
      </c>
      <c r="E18" s="72" t="s">
        <v>5</v>
      </c>
    </row>
    <row r="19" spans="1:6" x14ac:dyDescent="0.25">
      <c r="A19" s="172" t="s">
        <v>26</v>
      </c>
      <c r="B19" s="2" t="s">
        <v>6</v>
      </c>
      <c r="C19" s="21">
        <v>0.01</v>
      </c>
      <c r="D19" s="3">
        <v>0.02</v>
      </c>
      <c r="E19" s="3"/>
    </row>
    <row r="20" spans="1:6" x14ac:dyDescent="0.25">
      <c r="A20" s="172"/>
      <c r="B20" s="2" t="s">
        <v>0</v>
      </c>
      <c r="C20" s="21">
        <v>0.01</v>
      </c>
      <c r="D20" s="3">
        <v>1.4999999999999999E-2</v>
      </c>
      <c r="E20" s="3"/>
    </row>
    <row r="21" spans="1:6" x14ac:dyDescent="0.25">
      <c r="A21" s="5"/>
      <c r="B21" s="5"/>
      <c r="C21" s="12"/>
      <c r="D21" s="5"/>
      <c r="E21" s="5"/>
    </row>
    <row r="22" spans="1:6" x14ac:dyDescent="0.25">
      <c r="A22" s="5"/>
      <c r="B22" s="5"/>
      <c r="C22" s="12"/>
      <c r="D22" s="5"/>
      <c r="E22" s="5"/>
    </row>
    <row r="23" spans="1:6" x14ac:dyDescent="0.25">
      <c r="A23" s="5"/>
      <c r="B23" s="5"/>
      <c r="C23" s="72" t="s">
        <v>102</v>
      </c>
      <c r="D23" s="72" t="s">
        <v>103</v>
      </c>
      <c r="E23" s="72" t="s">
        <v>104</v>
      </c>
      <c r="F23" s="72" t="s">
        <v>105</v>
      </c>
    </row>
    <row r="24" spans="1:6" x14ac:dyDescent="0.25">
      <c r="A24" s="108" t="s">
        <v>7</v>
      </c>
      <c r="B24" s="2"/>
      <c r="C24" s="21">
        <v>2.5000000000000001E-3</v>
      </c>
      <c r="D24" s="3">
        <v>5.0000000000000001E-3</v>
      </c>
      <c r="E24" s="3">
        <v>7.4999999999999997E-3</v>
      </c>
      <c r="F24" s="3">
        <v>1.2500000000000001E-2</v>
      </c>
    </row>
    <row r="26" spans="1:6" x14ac:dyDescent="0.25">
      <c r="B26" s="5"/>
      <c r="C26" s="72" t="s">
        <v>102</v>
      </c>
      <c r="D26" s="72" t="s">
        <v>103</v>
      </c>
      <c r="E26" s="72" t="s">
        <v>104</v>
      </c>
      <c r="F26" s="72" t="s">
        <v>105</v>
      </c>
    </row>
    <row r="27" spans="1:6" x14ac:dyDescent="0.25">
      <c r="A27" s="109" t="s">
        <v>15</v>
      </c>
      <c r="B27" s="2"/>
      <c r="C27" s="110">
        <v>1.25E-3</v>
      </c>
      <c r="D27" s="3">
        <v>2.5000000000000001E-3</v>
      </c>
      <c r="E27" s="3">
        <v>5.0000000000000001E-3</v>
      </c>
      <c r="F27" s="3">
        <v>7.4999999999999997E-3</v>
      </c>
    </row>
    <row r="29" spans="1:6" x14ac:dyDescent="0.25">
      <c r="A29" s="35"/>
      <c r="B29" s="35"/>
      <c r="C29" s="39"/>
      <c r="D29" s="35"/>
      <c r="E29" s="35" t="s">
        <v>36</v>
      </c>
    </row>
    <row r="30" spans="1:6" x14ac:dyDescent="0.25">
      <c r="A30" s="35"/>
      <c r="B30" s="35"/>
      <c r="C30" s="39"/>
      <c r="D30" s="35"/>
      <c r="E30" s="35"/>
    </row>
    <row r="31" spans="1:6" x14ac:dyDescent="0.25">
      <c r="A31" s="35"/>
      <c r="B31" s="35"/>
      <c r="C31" s="39"/>
      <c r="D31" s="35"/>
      <c r="E31" s="35"/>
    </row>
    <row r="32" spans="1:6" x14ac:dyDescent="0.25">
      <c r="A32" s="35"/>
      <c r="B32" s="164" t="s">
        <v>37</v>
      </c>
      <c r="C32" s="164"/>
      <c r="D32" s="35"/>
      <c r="E32" s="35"/>
    </row>
    <row r="33" spans="1:5" x14ac:dyDescent="0.25">
      <c r="A33" s="35"/>
      <c r="B33" s="35"/>
      <c r="C33" s="39"/>
      <c r="D33" s="35"/>
      <c r="E33" s="35"/>
    </row>
    <row r="34" spans="1:5" x14ac:dyDescent="0.25">
      <c r="A34" s="35"/>
      <c r="B34" s="35"/>
      <c r="C34" s="39"/>
      <c r="D34" s="35"/>
      <c r="E34" s="35"/>
    </row>
    <row r="35" spans="1:5" x14ac:dyDescent="0.25">
      <c r="A35" s="35" t="s">
        <v>31</v>
      </c>
      <c r="B35" s="35"/>
      <c r="C35" s="39" t="s">
        <v>24</v>
      </c>
      <c r="D35" s="35"/>
      <c r="E35" s="35" t="s">
        <v>23</v>
      </c>
    </row>
  </sheetData>
  <mergeCells count="2">
    <mergeCell ref="A19:A20"/>
    <mergeCell ref="B32:C32"/>
  </mergeCells>
  <pageMargins left="0.7" right="0.7" top="0.75" bottom="0.75" header="0.3" footer="0.3"/>
  <pageSetup paperSize="9" scale="87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2B4D-8994-4FD6-A5DD-F18C29CBEAF4}">
  <sheetPr>
    <pageSetUpPr fitToPage="1"/>
  </sheetPr>
  <dimension ref="A6:K36"/>
  <sheetViews>
    <sheetView view="pageBreakPreview" zoomScaleNormal="100" zoomScaleSheetLayoutView="100" workbookViewId="0">
      <selection activeCell="J21" sqref="J21"/>
    </sheetView>
  </sheetViews>
  <sheetFormatPr defaultRowHeight="15" x14ac:dyDescent="0.25"/>
  <cols>
    <col min="1" max="1" width="17.85546875" customWidth="1"/>
    <col min="2" max="2" width="9.85546875" customWidth="1"/>
    <col min="3" max="3" width="14.7109375" style="17" bestFit="1" customWidth="1"/>
    <col min="4" max="4" width="24.7109375" customWidth="1"/>
    <col min="5" max="5" width="15.42578125" customWidth="1"/>
    <col min="9" max="11" width="9.140625" style="84"/>
  </cols>
  <sheetData>
    <row r="6" spans="1:11" ht="22.5" x14ac:dyDescent="0.55000000000000004">
      <c r="A6" s="53" t="s">
        <v>101</v>
      </c>
      <c r="C6" s="74"/>
      <c r="D6" s="50"/>
    </row>
    <row r="7" spans="1:11" x14ac:dyDescent="0.25">
      <c r="D7" s="35" t="s">
        <v>74</v>
      </c>
      <c r="F7" s="35"/>
      <c r="G7" s="35"/>
    </row>
    <row r="8" spans="1:11" ht="18.75" x14ac:dyDescent="0.3">
      <c r="C8" s="74"/>
      <c r="D8" s="52" t="s">
        <v>100</v>
      </c>
      <c r="E8" s="50"/>
      <c r="F8" s="50"/>
      <c r="G8" s="50"/>
    </row>
    <row r="9" spans="1:11" ht="15.75" thickBot="1" x14ac:dyDescent="0.3"/>
    <row r="10" spans="1:11" ht="18" thickBot="1" x14ac:dyDescent="0.35">
      <c r="A10" s="12"/>
      <c r="B10" s="5"/>
      <c r="C10" s="63" t="s">
        <v>53</v>
      </c>
      <c r="D10" s="63" t="s">
        <v>4</v>
      </c>
      <c r="E10" s="63" t="s">
        <v>5</v>
      </c>
    </row>
    <row r="11" spans="1:11" ht="15.75" thickBot="1" x14ac:dyDescent="0.3">
      <c r="A11" s="171" t="s">
        <v>0</v>
      </c>
      <c r="B11" s="61" t="s">
        <v>1</v>
      </c>
      <c r="C11" s="62">
        <v>0.01</v>
      </c>
      <c r="D11" s="62">
        <v>1.4999999999999999E-2</v>
      </c>
      <c r="E11" s="62"/>
      <c r="F11" s="1"/>
    </row>
    <row r="12" spans="1:11" ht="15.75" thickBot="1" x14ac:dyDescent="0.3">
      <c r="A12" s="171"/>
      <c r="B12" s="61" t="s">
        <v>2</v>
      </c>
      <c r="C12" s="62">
        <v>1.4999999999999999E-2</v>
      </c>
      <c r="D12" s="62">
        <v>2.5000000000000001E-2</v>
      </c>
      <c r="E12" s="62">
        <v>0.03</v>
      </c>
      <c r="F12" s="1"/>
      <c r="G12" s="111"/>
    </row>
    <row r="13" spans="1:11" ht="15.75" thickBot="1" x14ac:dyDescent="0.3">
      <c r="A13" s="12"/>
      <c r="B13" s="5"/>
      <c r="C13" s="58"/>
      <c r="D13" s="58"/>
      <c r="E13" s="58"/>
      <c r="F13" s="1"/>
      <c r="G13" s="1"/>
      <c r="K13" s="114"/>
    </row>
    <row r="14" spans="1:11" ht="18" thickBot="1" x14ac:dyDescent="0.35">
      <c r="A14" s="12"/>
      <c r="B14" s="5"/>
      <c r="C14" s="63" t="s">
        <v>53</v>
      </c>
      <c r="D14" s="63" t="s">
        <v>4</v>
      </c>
      <c r="E14" s="63" t="s">
        <v>5</v>
      </c>
      <c r="H14" s="1"/>
      <c r="I14" s="114"/>
    </row>
    <row r="15" spans="1:11" ht="15.75" thickBot="1" x14ac:dyDescent="0.3">
      <c r="A15" s="171" t="s">
        <v>6</v>
      </c>
      <c r="B15" s="61" t="s">
        <v>1</v>
      </c>
      <c r="C15" s="62">
        <v>1.4999999999999999E-2</v>
      </c>
      <c r="D15" s="62">
        <v>2.2499999999999999E-2</v>
      </c>
      <c r="E15" s="62"/>
      <c r="H15" s="84"/>
    </row>
    <row r="16" spans="1:11" ht="15.75" thickBot="1" x14ac:dyDescent="0.3">
      <c r="A16" s="171"/>
      <c r="B16" s="61" t="s">
        <v>2</v>
      </c>
      <c r="C16" s="62">
        <v>0.02</v>
      </c>
      <c r="D16" s="62">
        <v>0.03</v>
      </c>
      <c r="E16" s="62">
        <v>3.5000000000000003E-2</v>
      </c>
    </row>
    <row r="17" spans="1:5" ht="15.75" thickBot="1" x14ac:dyDescent="0.3">
      <c r="A17" s="12"/>
      <c r="B17" s="5"/>
      <c r="C17" s="58"/>
      <c r="D17" s="58"/>
      <c r="E17" s="58"/>
    </row>
    <row r="18" spans="1:5" ht="18" thickBot="1" x14ac:dyDescent="0.35">
      <c r="A18" s="12"/>
      <c r="B18" s="5"/>
      <c r="C18" s="63" t="s">
        <v>53</v>
      </c>
      <c r="D18" s="63" t="s">
        <v>4</v>
      </c>
      <c r="E18" s="63" t="s">
        <v>5</v>
      </c>
    </row>
    <row r="19" spans="1:5" ht="15.75" thickBot="1" x14ac:dyDescent="0.3">
      <c r="A19" s="171" t="s">
        <v>26</v>
      </c>
      <c r="B19" s="61" t="s">
        <v>6</v>
      </c>
      <c r="C19" s="62">
        <v>0.02</v>
      </c>
      <c r="D19" s="62">
        <v>0.02</v>
      </c>
      <c r="E19" s="62">
        <v>0.02</v>
      </c>
    </row>
    <row r="20" spans="1:5" ht="15.75" thickBot="1" x14ac:dyDescent="0.3">
      <c r="A20" s="171"/>
      <c r="B20" s="61" t="s">
        <v>0</v>
      </c>
      <c r="C20" s="62">
        <v>1.4999999999999999E-2</v>
      </c>
      <c r="D20" s="62">
        <v>1.4999999999999999E-2</v>
      </c>
      <c r="E20" s="62">
        <v>1.4999999999999999E-2</v>
      </c>
    </row>
    <row r="21" spans="1:5" ht="15.75" thickBot="1" x14ac:dyDescent="0.3">
      <c r="A21" s="12"/>
      <c r="B21" s="5"/>
      <c r="C21" s="58"/>
      <c r="D21" s="58"/>
      <c r="E21" s="58"/>
    </row>
    <row r="22" spans="1:5" ht="18" thickBot="1" x14ac:dyDescent="0.35">
      <c r="A22" s="12"/>
      <c r="B22" s="5"/>
      <c r="C22" s="63" t="s">
        <v>53</v>
      </c>
      <c r="D22" s="63" t="s">
        <v>4</v>
      </c>
      <c r="E22" s="63" t="s">
        <v>5</v>
      </c>
    </row>
    <row r="23" spans="1:5" ht="15.75" thickBot="1" x14ac:dyDescent="0.3">
      <c r="A23" s="171" t="s">
        <v>7</v>
      </c>
      <c r="B23" s="61" t="s">
        <v>1</v>
      </c>
      <c r="C23" s="62">
        <v>5.0000000000000001E-3</v>
      </c>
      <c r="D23" s="62">
        <v>7.4999999999999997E-3</v>
      </c>
      <c r="E23" s="62"/>
    </row>
    <row r="24" spans="1:5" ht="15.75" thickBot="1" x14ac:dyDescent="0.3">
      <c r="A24" s="171"/>
      <c r="B24" s="61" t="s">
        <v>2</v>
      </c>
      <c r="C24" s="62">
        <v>7.4999999999999997E-3</v>
      </c>
      <c r="D24" s="62">
        <v>0.01</v>
      </c>
      <c r="E24" s="62">
        <v>1.2500000000000001E-2</v>
      </c>
    </row>
    <row r="25" spans="1:5" ht="15.75" thickBot="1" x14ac:dyDescent="0.3">
      <c r="A25" s="82"/>
      <c r="B25" s="5"/>
      <c r="C25" s="83"/>
      <c r="D25" s="83"/>
      <c r="E25" s="83"/>
    </row>
    <row r="26" spans="1:5" ht="18" thickBot="1" x14ac:dyDescent="0.35">
      <c r="A26" s="12"/>
      <c r="B26" s="5"/>
      <c r="C26" s="63" t="s">
        <v>53</v>
      </c>
      <c r="D26" s="63" t="s">
        <v>4</v>
      </c>
      <c r="E26" s="63" t="s">
        <v>5</v>
      </c>
    </row>
    <row r="27" spans="1:5" ht="15.75" thickBot="1" x14ac:dyDescent="0.3">
      <c r="A27" s="171" t="s">
        <v>64</v>
      </c>
      <c r="B27" s="61" t="s">
        <v>1</v>
      </c>
      <c r="C27" s="169">
        <v>2.5000000000000001E-3</v>
      </c>
      <c r="D27" s="169">
        <v>5.0000000000000001E-3</v>
      </c>
      <c r="E27" s="62"/>
    </row>
    <row r="28" spans="1:5" ht="15.75" thickBot="1" x14ac:dyDescent="0.3">
      <c r="A28" s="171"/>
      <c r="B28" s="61" t="s">
        <v>2</v>
      </c>
      <c r="C28" s="170"/>
      <c r="D28" s="170"/>
      <c r="E28" s="62"/>
    </row>
    <row r="29" spans="1:5" x14ac:dyDescent="0.25">
      <c r="A29" s="82"/>
      <c r="B29" s="5"/>
      <c r="C29" s="95"/>
      <c r="D29" s="95"/>
      <c r="E29" s="83"/>
    </row>
    <row r="30" spans="1:5" x14ac:dyDescent="0.25">
      <c r="A30" s="35"/>
      <c r="B30" s="35"/>
      <c r="C30" s="39"/>
      <c r="D30" s="35" t="s">
        <v>36</v>
      </c>
    </row>
    <row r="31" spans="1:5" x14ac:dyDescent="0.25">
      <c r="A31" s="35"/>
      <c r="B31" s="35"/>
      <c r="C31" s="39"/>
      <c r="D31" s="35"/>
    </row>
    <row r="32" spans="1:5" x14ac:dyDescent="0.25">
      <c r="A32" s="35"/>
      <c r="B32" s="35"/>
      <c r="C32" s="39"/>
      <c r="D32" s="35"/>
    </row>
    <row r="33" spans="1:5" x14ac:dyDescent="0.25">
      <c r="A33" s="35"/>
      <c r="B33" s="164" t="s">
        <v>37</v>
      </c>
      <c r="C33" s="164"/>
      <c r="D33" s="35"/>
    </row>
    <row r="34" spans="1:5" x14ac:dyDescent="0.25">
      <c r="A34" s="35"/>
      <c r="B34" s="35"/>
      <c r="C34" s="39"/>
      <c r="D34" s="35"/>
    </row>
    <row r="35" spans="1:5" x14ac:dyDescent="0.25">
      <c r="A35" s="35"/>
      <c r="B35" s="35"/>
      <c r="C35" s="39"/>
      <c r="D35" s="35"/>
    </row>
    <row r="36" spans="1:5" x14ac:dyDescent="0.25">
      <c r="A36" s="35" t="s">
        <v>31</v>
      </c>
      <c r="B36" s="35"/>
      <c r="C36" s="188" t="s">
        <v>24</v>
      </c>
      <c r="D36" s="188"/>
      <c r="E36" s="35" t="s">
        <v>23</v>
      </c>
    </row>
  </sheetData>
  <mergeCells count="9">
    <mergeCell ref="D27:D28"/>
    <mergeCell ref="C36:D36"/>
    <mergeCell ref="A19:A20"/>
    <mergeCell ref="B33:C33"/>
    <mergeCell ref="A11:A12"/>
    <mergeCell ref="A15:A16"/>
    <mergeCell ref="A23:A24"/>
    <mergeCell ref="A27:A28"/>
    <mergeCell ref="C27:C28"/>
  </mergeCells>
  <pageMargins left="0.7" right="0.7" top="0.75" bottom="0.75" header="0.3" footer="0.3"/>
  <pageSetup paperSize="9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2F23-DD3E-44AC-8F83-66688A8D1327}">
  <sheetPr>
    <pageSetUpPr fitToPage="1"/>
  </sheetPr>
  <dimension ref="A6:K56"/>
  <sheetViews>
    <sheetView view="pageBreakPreview" zoomScaleNormal="100" zoomScaleSheetLayoutView="100" workbookViewId="0">
      <selection activeCell="I3" sqref="G3:I48"/>
    </sheetView>
  </sheetViews>
  <sheetFormatPr defaultRowHeight="15" x14ac:dyDescent="0.25"/>
  <cols>
    <col min="1" max="1" width="17.85546875" customWidth="1"/>
    <col min="2" max="2" width="9.85546875" customWidth="1"/>
    <col min="3" max="3" width="14.7109375" style="17" bestFit="1" customWidth="1"/>
    <col min="4" max="4" width="24.7109375" customWidth="1"/>
    <col min="5" max="5" width="15.42578125" customWidth="1"/>
    <col min="7" max="8" width="9.140625" style="131"/>
    <col min="9" max="11" width="9.140625" style="84"/>
  </cols>
  <sheetData>
    <row r="6" spans="1:11" ht="23.25" thickBot="1" x14ac:dyDescent="0.6">
      <c r="A6" s="53" t="s">
        <v>108</v>
      </c>
      <c r="C6" s="74"/>
      <c r="D6" s="50"/>
    </row>
    <row r="7" spans="1:11" ht="18" thickBot="1" x14ac:dyDescent="0.35">
      <c r="D7" s="35" t="s">
        <v>74</v>
      </c>
      <c r="F7" s="35"/>
      <c r="G7" s="63"/>
      <c r="H7" s="63"/>
    </row>
    <row r="8" spans="1:11" ht="18.75" x14ac:dyDescent="0.3">
      <c r="C8" s="74"/>
      <c r="D8" s="52" t="s">
        <v>107</v>
      </c>
      <c r="E8" s="50"/>
      <c r="F8" s="50"/>
    </row>
    <row r="9" spans="1:11" ht="23.25" thickBot="1" x14ac:dyDescent="0.6">
      <c r="A9" s="53" t="s">
        <v>132</v>
      </c>
    </row>
    <row r="10" spans="1:11" ht="18" thickBot="1" x14ac:dyDescent="0.35">
      <c r="A10" s="12"/>
      <c r="B10" s="5"/>
      <c r="C10" s="63" t="s">
        <v>53</v>
      </c>
      <c r="D10" s="63" t="s">
        <v>4</v>
      </c>
      <c r="E10" s="63" t="s">
        <v>5</v>
      </c>
    </row>
    <row r="11" spans="1:11" ht="15.75" thickBot="1" x14ac:dyDescent="0.3">
      <c r="A11" s="210" t="s">
        <v>0</v>
      </c>
      <c r="B11" s="61" t="s">
        <v>75</v>
      </c>
      <c r="C11" s="96">
        <v>1.25E-3</v>
      </c>
      <c r="D11" s="62">
        <v>2.5000000000000001E-3</v>
      </c>
      <c r="E11" s="62"/>
      <c r="F11" s="1"/>
    </row>
    <row r="12" spans="1:11" ht="15.75" thickBot="1" x14ac:dyDescent="0.3">
      <c r="A12" s="212"/>
      <c r="B12" s="61" t="s">
        <v>1</v>
      </c>
      <c r="C12" s="62">
        <v>5.0000000000000001E-3</v>
      </c>
      <c r="D12" s="62">
        <v>0.01</v>
      </c>
      <c r="E12" s="62"/>
      <c r="F12" s="1"/>
    </row>
    <row r="13" spans="1:11" ht="15.75" thickBot="1" x14ac:dyDescent="0.3">
      <c r="A13" s="12"/>
      <c r="B13" s="5"/>
      <c r="C13" s="58"/>
      <c r="D13" s="58"/>
      <c r="E13" s="58"/>
      <c r="F13" s="1"/>
      <c r="K13" s="114"/>
    </row>
    <row r="14" spans="1:11" ht="18" thickBot="1" x14ac:dyDescent="0.35">
      <c r="A14" s="12"/>
      <c r="B14" s="5"/>
      <c r="C14" s="63" t="s">
        <v>53</v>
      </c>
      <c r="D14" s="63" t="s">
        <v>4</v>
      </c>
      <c r="E14" s="63" t="s">
        <v>5</v>
      </c>
      <c r="I14" s="114"/>
    </row>
    <row r="15" spans="1:11" ht="15.75" thickBot="1" x14ac:dyDescent="0.3">
      <c r="A15" s="210" t="s">
        <v>6</v>
      </c>
      <c r="B15" s="61" t="s">
        <v>75</v>
      </c>
      <c r="C15" s="62">
        <v>2.5000000000000001E-3</v>
      </c>
      <c r="D15" s="62">
        <v>5.0000000000000001E-3</v>
      </c>
      <c r="E15" s="62"/>
      <c r="F15" s="1"/>
    </row>
    <row r="16" spans="1:11" ht="15.75" thickBot="1" x14ac:dyDescent="0.3">
      <c r="A16" s="212"/>
      <c r="B16" s="61" t="s">
        <v>1</v>
      </c>
      <c r="C16" s="62">
        <v>7.4999999999999997E-3</v>
      </c>
      <c r="D16" s="62">
        <v>1.2500000000000001E-2</v>
      </c>
      <c r="E16" s="62"/>
    </row>
    <row r="17" spans="1:8" x14ac:dyDescent="0.25">
      <c r="A17" s="12"/>
      <c r="B17" s="5"/>
      <c r="C17" s="58"/>
      <c r="D17" s="58"/>
      <c r="E17" s="58"/>
    </row>
    <row r="18" spans="1:8" ht="15.75" thickBot="1" x14ac:dyDescent="0.3">
      <c r="A18" s="12"/>
      <c r="B18" s="5"/>
      <c r="C18" s="58"/>
      <c r="D18" s="58"/>
      <c r="E18" s="58"/>
    </row>
    <row r="19" spans="1:8" ht="18" thickBot="1" x14ac:dyDescent="0.35">
      <c r="A19" s="12"/>
      <c r="B19" s="5"/>
      <c r="C19" s="63" t="s">
        <v>53</v>
      </c>
      <c r="D19" s="63" t="s">
        <v>4</v>
      </c>
      <c r="E19" s="63" t="s">
        <v>5</v>
      </c>
    </row>
    <row r="20" spans="1:8" ht="15.75" thickBot="1" x14ac:dyDescent="0.3">
      <c r="A20" s="210" t="s">
        <v>7</v>
      </c>
      <c r="B20" s="61" t="s">
        <v>75</v>
      </c>
      <c r="C20" s="96">
        <v>1.25E-3</v>
      </c>
      <c r="D20" s="62">
        <v>2.5000000000000001E-3</v>
      </c>
      <c r="E20" s="62"/>
      <c r="F20" s="1"/>
    </row>
    <row r="21" spans="1:8" ht="15.75" thickBot="1" x14ac:dyDescent="0.3">
      <c r="A21" s="212"/>
      <c r="B21" s="61" t="s">
        <v>1</v>
      </c>
      <c r="C21" s="62">
        <v>2.5000000000000001E-3</v>
      </c>
      <c r="D21" s="62">
        <v>5.0000000000000001E-3</v>
      </c>
      <c r="E21" s="62"/>
    </row>
    <row r="22" spans="1:8" ht="15.75" thickBot="1" x14ac:dyDescent="0.3">
      <c r="A22" s="82"/>
      <c r="B22" s="5"/>
      <c r="C22" s="83"/>
      <c r="D22" s="83"/>
      <c r="E22" s="83"/>
    </row>
    <row r="23" spans="1:8" ht="18" thickBot="1" x14ac:dyDescent="0.35">
      <c r="A23" s="12"/>
      <c r="B23" s="5"/>
      <c r="C23" s="63" t="s">
        <v>53</v>
      </c>
      <c r="D23" s="63" t="s">
        <v>4</v>
      </c>
      <c r="E23" s="63" t="s">
        <v>5</v>
      </c>
    </row>
    <row r="24" spans="1:8" ht="15.75" thickBot="1" x14ac:dyDescent="0.3">
      <c r="A24" s="210" t="s">
        <v>64</v>
      </c>
      <c r="B24" s="61" t="s">
        <v>75</v>
      </c>
      <c r="C24" s="135">
        <f>+C20/2</f>
        <v>6.2500000000000001E-4</v>
      </c>
      <c r="D24" s="96">
        <v>1.25E-3</v>
      </c>
      <c r="E24" s="62"/>
      <c r="F24" s="1"/>
    </row>
    <row r="25" spans="1:8" ht="15.75" thickBot="1" x14ac:dyDescent="0.3">
      <c r="A25" s="212"/>
      <c r="B25" s="61" t="s">
        <v>1</v>
      </c>
      <c r="C25" s="96">
        <v>1.25E-3</v>
      </c>
      <c r="D25" s="62">
        <v>2.5000000000000001E-3</v>
      </c>
      <c r="E25" s="62"/>
    </row>
    <row r="26" spans="1:8" ht="15.75" thickBot="1" x14ac:dyDescent="0.3">
      <c r="A26" s="12"/>
      <c r="B26" s="5"/>
      <c r="C26" s="58"/>
      <c r="D26" s="58"/>
      <c r="E26" s="58"/>
    </row>
    <row r="27" spans="1:8" ht="18" thickBot="1" x14ac:dyDescent="0.35">
      <c r="A27" s="12"/>
      <c r="B27" s="5"/>
      <c r="C27" s="58"/>
      <c r="D27" s="58"/>
      <c r="E27" s="58"/>
      <c r="G27" s="63"/>
      <c r="H27" s="63"/>
    </row>
    <row r="28" spans="1:8" ht="23.25" thickBot="1" x14ac:dyDescent="0.6">
      <c r="A28" s="53" t="s">
        <v>133</v>
      </c>
      <c r="B28" s="5"/>
      <c r="C28" s="58"/>
      <c r="D28" s="58"/>
      <c r="E28" s="58"/>
    </row>
    <row r="29" spans="1:8" ht="18" thickBot="1" x14ac:dyDescent="0.35">
      <c r="A29" s="12"/>
      <c r="B29" s="5"/>
      <c r="C29" s="63" t="s">
        <v>53</v>
      </c>
      <c r="D29" s="63" t="s">
        <v>4</v>
      </c>
      <c r="E29" s="63" t="s">
        <v>5</v>
      </c>
    </row>
    <row r="30" spans="1:8" ht="15.75" thickBot="1" x14ac:dyDescent="0.3">
      <c r="A30" s="210" t="s">
        <v>0</v>
      </c>
      <c r="B30" s="61" t="s">
        <v>75</v>
      </c>
      <c r="C30" s="62">
        <v>2.5000000000000001E-3</v>
      </c>
      <c r="D30" s="62">
        <v>5.0000000000000001E-3</v>
      </c>
      <c r="E30" s="62"/>
      <c r="F30" s="1"/>
    </row>
    <row r="31" spans="1:8" ht="15.75" thickBot="1" x14ac:dyDescent="0.3">
      <c r="A31" s="211"/>
      <c r="B31" s="61" t="s">
        <v>1</v>
      </c>
      <c r="C31" s="62">
        <v>5.0000000000000001E-3</v>
      </c>
      <c r="D31" s="62">
        <v>0.01</v>
      </c>
      <c r="E31" s="62"/>
      <c r="F31" s="1"/>
    </row>
    <row r="32" spans="1:8" ht="15.75" thickBot="1" x14ac:dyDescent="0.3">
      <c r="A32" s="212"/>
      <c r="B32" s="61" t="s">
        <v>134</v>
      </c>
      <c r="C32" s="62">
        <v>7.4999999999999997E-3</v>
      </c>
      <c r="D32" s="62">
        <v>1.2500000000000001E-2</v>
      </c>
      <c r="E32" s="62"/>
      <c r="F32" s="1"/>
    </row>
    <row r="33" spans="1:11" ht="15.75" thickBot="1" x14ac:dyDescent="0.3">
      <c r="A33" s="12"/>
      <c r="B33" s="5"/>
      <c r="C33" s="58"/>
      <c r="D33" s="58"/>
      <c r="E33" s="58"/>
      <c r="F33" s="1"/>
      <c r="K33" s="114"/>
    </row>
    <row r="34" spans="1:11" ht="18" thickBot="1" x14ac:dyDescent="0.35">
      <c r="A34" s="12"/>
      <c r="B34" s="5"/>
      <c r="C34" s="63" t="s">
        <v>53</v>
      </c>
      <c r="D34" s="63" t="s">
        <v>4</v>
      </c>
      <c r="E34" s="63" t="s">
        <v>5</v>
      </c>
      <c r="I34" s="114"/>
    </row>
    <row r="35" spans="1:11" ht="15.75" thickBot="1" x14ac:dyDescent="0.3">
      <c r="A35" s="210" t="s">
        <v>6</v>
      </c>
      <c r="B35" s="61" t="s">
        <v>75</v>
      </c>
      <c r="C35" s="62">
        <v>5.0000000000000001E-3</v>
      </c>
      <c r="D35" s="62">
        <v>7.4999999999999997E-3</v>
      </c>
      <c r="E35" s="62"/>
      <c r="F35" s="1"/>
    </row>
    <row r="36" spans="1:11" ht="15.75" thickBot="1" x14ac:dyDescent="0.3">
      <c r="A36" s="211"/>
      <c r="B36" s="61" t="s">
        <v>1</v>
      </c>
      <c r="C36" s="62">
        <v>0.01</v>
      </c>
      <c r="D36" s="62">
        <v>1.4999999999999999E-2</v>
      </c>
      <c r="E36" s="62"/>
    </row>
    <row r="37" spans="1:11" ht="15.75" thickBot="1" x14ac:dyDescent="0.3">
      <c r="A37" s="212"/>
      <c r="B37" s="61" t="s">
        <v>134</v>
      </c>
      <c r="C37" s="62">
        <v>1.2500000000000001E-2</v>
      </c>
      <c r="D37" s="62">
        <v>2.2499999999999999E-2</v>
      </c>
      <c r="E37" s="62"/>
    </row>
    <row r="38" spans="1:11" ht="15.75" thickBot="1" x14ac:dyDescent="0.3">
      <c r="A38" s="12"/>
      <c r="B38" s="5"/>
      <c r="C38" s="58"/>
      <c r="D38" s="58"/>
      <c r="E38" s="58"/>
    </row>
    <row r="39" spans="1:11" ht="18" thickBot="1" x14ac:dyDescent="0.35">
      <c r="A39" s="12"/>
      <c r="B39" s="5"/>
      <c r="C39" s="63" t="s">
        <v>53</v>
      </c>
      <c r="D39" s="63" t="s">
        <v>4</v>
      </c>
      <c r="E39" s="63" t="s">
        <v>5</v>
      </c>
    </row>
    <row r="40" spans="1:11" ht="15.75" thickBot="1" x14ac:dyDescent="0.3">
      <c r="A40" s="210" t="s">
        <v>7</v>
      </c>
      <c r="B40" s="61" t="s">
        <v>75</v>
      </c>
      <c r="C40" s="62">
        <v>2.5000000000000001E-3</v>
      </c>
      <c r="D40" s="62">
        <v>4.0000000000000001E-3</v>
      </c>
      <c r="E40" s="62"/>
      <c r="F40" s="1"/>
    </row>
    <row r="41" spans="1:11" ht="15.75" thickBot="1" x14ac:dyDescent="0.3">
      <c r="A41" s="211"/>
      <c r="B41" s="61" t="s">
        <v>1</v>
      </c>
      <c r="C41" s="62">
        <v>4.0000000000000001E-3</v>
      </c>
      <c r="D41" s="62">
        <v>6.0000000000000001E-3</v>
      </c>
      <c r="E41" s="62"/>
    </row>
    <row r="42" spans="1:11" ht="15.75" thickBot="1" x14ac:dyDescent="0.3">
      <c r="A42" s="212"/>
      <c r="B42" s="61" t="s">
        <v>134</v>
      </c>
      <c r="C42" s="62">
        <v>5.0000000000000001E-3</v>
      </c>
      <c r="D42" s="62">
        <v>7.4999999999999997E-3</v>
      </c>
      <c r="E42" s="62"/>
    </row>
    <row r="43" spans="1:11" ht="15.75" thickBot="1" x14ac:dyDescent="0.3">
      <c r="A43" s="82"/>
      <c r="B43" s="5"/>
      <c r="C43" s="83"/>
      <c r="D43" s="83"/>
      <c r="E43" s="83"/>
    </row>
    <row r="44" spans="1:11" ht="18" thickBot="1" x14ac:dyDescent="0.35">
      <c r="A44" s="12"/>
      <c r="B44" s="5"/>
      <c r="C44" s="63" t="s">
        <v>53</v>
      </c>
      <c r="D44" s="63" t="s">
        <v>4</v>
      </c>
      <c r="E44" s="63" t="s">
        <v>5</v>
      </c>
    </row>
    <row r="45" spans="1:11" ht="15.75" thickBot="1" x14ac:dyDescent="0.3">
      <c r="A45" s="210" t="s">
        <v>64</v>
      </c>
      <c r="B45" s="61" t="s">
        <v>75</v>
      </c>
      <c r="C45" s="96">
        <v>1.25E-3</v>
      </c>
      <c r="D45" s="62">
        <v>2E-3</v>
      </c>
      <c r="E45" s="62"/>
      <c r="F45" s="1"/>
    </row>
    <row r="46" spans="1:11" ht="15.75" thickBot="1" x14ac:dyDescent="0.3">
      <c r="A46" s="211"/>
      <c r="B46" s="61" t="s">
        <v>1</v>
      </c>
      <c r="C46" s="62">
        <v>2E-3</v>
      </c>
      <c r="D46" s="62">
        <v>4.0000000000000001E-3</v>
      </c>
      <c r="E46" s="62"/>
    </row>
    <row r="47" spans="1:11" ht="15.75" thickBot="1" x14ac:dyDescent="0.3">
      <c r="A47" s="212"/>
      <c r="B47" s="61" t="s">
        <v>134</v>
      </c>
      <c r="C47" s="62">
        <v>2.5000000000000001E-3</v>
      </c>
      <c r="D47" s="62">
        <v>5.0000000000000001E-3</v>
      </c>
      <c r="E47" s="62"/>
    </row>
    <row r="48" spans="1:11" x14ac:dyDescent="0.25">
      <c r="A48" s="82"/>
      <c r="B48" s="5"/>
      <c r="C48" s="134"/>
      <c r="D48" s="134"/>
      <c r="E48" s="83"/>
    </row>
    <row r="49" spans="1:5" x14ac:dyDescent="0.25">
      <c r="A49" s="82"/>
      <c r="B49" s="5"/>
      <c r="C49" s="95"/>
      <c r="D49" s="95"/>
      <c r="E49" s="83"/>
    </row>
    <row r="50" spans="1:5" x14ac:dyDescent="0.25">
      <c r="A50" s="35"/>
      <c r="B50" s="35"/>
      <c r="C50" s="39"/>
      <c r="D50" s="35" t="s">
        <v>36</v>
      </c>
    </row>
    <row r="51" spans="1:5" x14ac:dyDescent="0.25">
      <c r="A51" s="35"/>
      <c r="B51" s="35"/>
      <c r="C51" s="39"/>
      <c r="D51" s="35"/>
    </row>
    <row r="52" spans="1:5" x14ac:dyDescent="0.25">
      <c r="A52" s="35"/>
      <c r="B52" s="35"/>
      <c r="C52" s="39"/>
      <c r="D52" s="35"/>
    </row>
    <row r="53" spans="1:5" x14ac:dyDescent="0.25">
      <c r="A53" s="35"/>
      <c r="B53" s="164" t="s">
        <v>37</v>
      </c>
      <c r="C53" s="164"/>
      <c r="D53" s="35"/>
    </row>
    <row r="54" spans="1:5" x14ac:dyDescent="0.25">
      <c r="A54" s="35"/>
      <c r="B54" s="35"/>
      <c r="C54" s="39"/>
      <c r="D54" s="35"/>
    </row>
    <row r="55" spans="1:5" x14ac:dyDescent="0.25">
      <c r="A55" s="35"/>
      <c r="B55" s="35"/>
      <c r="C55" s="39"/>
      <c r="D55" s="35"/>
    </row>
    <row r="56" spans="1:5" x14ac:dyDescent="0.25">
      <c r="A56" s="35" t="s">
        <v>31</v>
      </c>
      <c r="B56" s="35"/>
      <c r="C56" s="188" t="s">
        <v>24</v>
      </c>
      <c r="D56" s="188"/>
      <c r="E56" s="35" t="s">
        <v>23</v>
      </c>
    </row>
  </sheetData>
  <mergeCells count="10">
    <mergeCell ref="A40:A42"/>
    <mergeCell ref="A45:A47"/>
    <mergeCell ref="B53:C53"/>
    <mergeCell ref="C56:D56"/>
    <mergeCell ref="A11:A12"/>
    <mergeCell ref="A15:A16"/>
    <mergeCell ref="A20:A21"/>
    <mergeCell ref="A24:A25"/>
    <mergeCell ref="A30:A32"/>
    <mergeCell ref="A35:A37"/>
  </mergeCells>
  <pageMargins left="0.7" right="0.7" top="0.17" bottom="0.17" header="0.3" footer="0.19"/>
  <pageSetup paperSize="9" fitToHeight="0" orientation="portrait" r:id="rId1"/>
  <rowBreaks count="1" manualBreakCount="1">
    <brk id="51" max="4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3681-6472-4C79-BD4E-6304D1CC4F8D}">
  <dimension ref="B1:J34"/>
  <sheetViews>
    <sheetView showGridLines="0" view="pageBreakPreview" zoomScaleNormal="100" zoomScaleSheetLayoutView="100" workbookViewId="0">
      <selection activeCell="C12" sqref="C12"/>
    </sheetView>
  </sheetViews>
  <sheetFormatPr defaultColWidth="9.140625" defaultRowHeight="15" x14ac:dyDescent="0.25"/>
  <cols>
    <col min="1" max="1" width="3.85546875" style="35" customWidth="1"/>
    <col min="2" max="2" width="16.42578125" style="35" customWidth="1"/>
    <col min="3" max="3" width="20.85546875" style="35" customWidth="1"/>
    <col min="4" max="4" width="19.28515625" style="57" customWidth="1"/>
    <col min="5" max="5" width="17.28515625" style="57" customWidth="1"/>
    <col min="6" max="6" width="16.140625" style="57" customWidth="1"/>
    <col min="7" max="7" width="8.140625" style="35" customWidth="1"/>
    <col min="8" max="8" width="9.5703125" style="59" bestFit="1" customWidth="1"/>
    <col min="9" max="9" width="11.28515625" style="5" bestFit="1" customWidth="1"/>
    <col min="10" max="10" width="8.140625" style="5" customWidth="1"/>
    <col min="11" max="14" width="8.140625" style="35" customWidth="1"/>
    <col min="15" max="16384" width="9.140625" style="35"/>
  </cols>
  <sheetData>
    <row r="1" spans="2:10" ht="25.15" customHeight="1" x14ac:dyDescent="0.25">
      <c r="B1" s="39"/>
    </row>
    <row r="2" spans="2:10" ht="25.15" customHeight="1" x14ac:dyDescent="0.25"/>
    <row r="3" spans="2:10" ht="25.15" customHeight="1" x14ac:dyDescent="0.25"/>
    <row r="4" spans="2:10" ht="34.9" customHeight="1" x14ac:dyDescent="0.3">
      <c r="B4" s="25" t="s">
        <v>89</v>
      </c>
      <c r="E4" s="120"/>
      <c r="F4" s="120"/>
      <c r="H4" s="35"/>
      <c r="I4" s="35"/>
      <c r="J4" s="35"/>
    </row>
    <row r="5" spans="2:10" ht="18.75" x14ac:dyDescent="0.3">
      <c r="B5" s="12"/>
      <c r="E5" s="120"/>
      <c r="F5" s="120" t="s">
        <v>74</v>
      </c>
      <c r="H5" s="35"/>
      <c r="I5" s="35"/>
      <c r="J5" s="35"/>
    </row>
    <row r="6" spans="2:10" ht="18.75" x14ac:dyDescent="0.3">
      <c r="B6" s="12"/>
      <c r="E6" s="120"/>
      <c r="F6" s="120" t="s">
        <v>90</v>
      </c>
      <c r="H6" s="35"/>
      <c r="I6" s="35"/>
      <c r="J6" s="35"/>
    </row>
    <row r="7" spans="2:10" ht="18.75" x14ac:dyDescent="0.3">
      <c r="B7" s="39"/>
      <c r="E7" s="120"/>
      <c r="F7" s="120"/>
      <c r="H7" s="35"/>
      <c r="I7" s="35"/>
      <c r="J7" s="35"/>
    </row>
    <row r="8" spans="2:10" x14ac:dyDescent="0.25">
      <c r="B8" s="39"/>
      <c r="H8" s="35"/>
      <c r="I8" s="35"/>
      <c r="J8" s="35"/>
    </row>
    <row r="9" spans="2:10" ht="15.75" thickBot="1" x14ac:dyDescent="0.3">
      <c r="B9" s="12"/>
      <c r="C9" s="5"/>
      <c r="D9" s="58"/>
      <c r="E9" s="58"/>
      <c r="F9" s="58"/>
      <c r="H9" s="35"/>
      <c r="I9" s="35"/>
      <c r="J9" s="35"/>
    </row>
    <row r="10" spans="2:10" ht="19.5" thickBot="1" x14ac:dyDescent="0.35">
      <c r="B10" s="115"/>
      <c r="C10" s="30"/>
      <c r="D10" s="116" t="s">
        <v>53</v>
      </c>
      <c r="E10" s="116" t="s">
        <v>4</v>
      </c>
      <c r="F10" s="116" t="s">
        <v>5</v>
      </c>
      <c r="H10" s="38"/>
      <c r="I10" s="35"/>
      <c r="J10" s="35"/>
    </row>
    <row r="11" spans="2:10" ht="19.5" thickBot="1" x14ac:dyDescent="0.35">
      <c r="B11" s="220" t="s">
        <v>6</v>
      </c>
      <c r="C11" s="117" t="s">
        <v>1</v>
      </c>
      <c r="D11" s="118">
        <v>0.01</v>
      </c>
      <c r="E11" s="118">
        <v>0.02</v>
      </c>
      <c r="F11" s="118"/>
      <c r="H11" s="38"/>
      <c r="I11" s="35"/>
      <c r="J11" s="35"/>
    </row>
    <row r="12" spans="2:10" ht="19.5" thickBot="1" x14ac:dyDescent="0.35">
      <c r="B12" s="221"/>
      <c r="C12" s="117" t="s">
        <v>2</v>
      </c>
      <c r="D12" s="118">
        <v>1.4999999999999999E-2</v>
      </c>
      <c r="E12" s="118">
        <v>2.5000000000000001E-2</v>
      </c>
      <c r="F12" s="118"/>
      <c r="H12" s="38"/>
      <c r="I12" s="35"/>
      <c r="J12" s="35"/>
    </row>
    <row r="13" spans="2:10" ht="18.75" x14ac:dyDescent="0.3">
      <c r="B13" s="115"/>
      <c r="C13" s="30"/>
      <c r="D13" s="119"/>
      <c r="E13" s="119"/>
      <c r="F13" s="119"/>
      <c r="H13" s="38"/>
      <c r="I13" s="106"/>
      <c r="J13" s="35"/>
    </row>
    <row r="14" spans="2:10" ht="19.5" thickBot="1" x14ac:dyDescent="0.35">
      <c r="B14" s="115"/>
      <c r="C14" s="30"/>
      <c r="D14" s="119"/>
      <c r="E14" s="119"/>
      <c r="F14" s="119"/>
      <c r="H14" s="35"/>
      <c r="I14" s="35"/>
      <c r="J14" s="35"/>
    </row>
    <row r="15" spans="2:10" ht="19.5" thickBot="1" x14ac:dyDescent="0.35">
      <c r="B15" s="115"/>
      <c r="C15" s="30"/>
      <c r="D15" s="116" t="s">
        <v>53</v>
      </c>
      <c r="E15" s="116" t="s">
        <v>4</v>
      </c>
      <c r="F15" s="116" t="s">
        <v>5</v>
      </c>
      <c r="H15" s="35"/>
      <c r="I15" s="35"/>
      <c r="J15" s="35"/>
    </row>
    <row r="16" spans="2:10" ht="19.5" thickBot="1" x14ac:dyDescent="0.35">
      <c r="B16" s="220" t="s">
        <v>7</v>
      </c>
      <c r="C16" s="117" t="s">
        <v>1</v>
      </c>
      <c r="D16" s="118">
        <v>2.5000000000000001E-3</v>
      </c>
      <c r="E16" s="118">
        <v>5.0000000000000001E-3</v>
      </c>
      <c r="F16" s="118"/>
      <c r="H16" s="35"/>
      <c r="I16" s="35"/>
      <c r="J16" s="35"/>
    </row>
    <row r="17" spans="2:10" ht="19.5" thickBot="1" x14ac:dyDescent="0.35">
      <c r="B17" s="221"/>
      <c r="C17" s="117" t="s">
        <v>2</v>
      </c>
      <c r="D17" s="118">
        <v>5.0000000000000001E-3</v>
      </c>
      <c r="E17" s="118">
        <v>7.4999999999999997E-3</v>
      </c>
      <c r="F17" s="118"/>
      <c r="H17" s="35"/>
      <c r="I17" s="35"/>
      <c r="J17" s="35"/>
    </row>
    <row r="18" spans="2:10" x14ac:dyDescent="0.25">
      <c r="B18" s="82"/>
      <c r="C18" s="5"/>
      <c r="D18" s="83"/>
      <c r="E18" s="83"/>
      <c r="F18" s="83"/>
      <c r="H18" s="35"/>
      <c r="I18" s="35"/>
      <c r="J18" s="35"/>
    </row>
    <row r="19" spans="2:10" x14ac:dyDescent="0.25">
      <c r="B19" s="82"/>
      <c r="C19" s="5"/>
      <c r="D19" s="83"/>
      <c r="E19" s="83"/>
      <c r="F19" s="83"/>
      <c r="H19" s="35"/>
      <c r="I19" s="35"/>
      <c r="J19" s="35"/>
    </row>
    <row r="20" spans="2:10" x14ac:dyDescent="0.25">
      <c r="B20" s="82"/>
      <c r="C20" s="5"/>
      <c r="D20" s="83"/>
      <c r="E20" s="83"/>
      <c r="F20" s="83"/>
      <c r="H20" s="35"/>
      <c r="I20" s="35"/>
      <c r="J20" s="35"/>
    </row>
    <row r="21" spans="2:10" x14ac:dyDescent="0.25">
      <c r="B21" s="82"/>
      <c r="C21" s="5"/>
      <c r="D21" s="83"/>
      <c r="E21" s="83"/>
      <c r="F21" s="83"/>
      <c r="H21" s="35"/>
      <c r="I21" s="35"/>
      <c r="J21" s="35"/>
    </row>
    <row r="22" spans="2:10" x14ac:dyDescent="0.25">
      <c r="B22" s="82"/>
      <c r="C22" s="5"/>
      <c r="D22" s="83"/>
      <c r="E22" s="83"/>
      <c r="F22" s="83"/>
      <c r="H22" s="35"/>
      <c r="I22" s="35"/>
      <c r="J22" s="35"/>
    </row>
    <row r="23" spans="2:10" x14ac:dyDescent="0.25">
      <c r="B23" s="82"/>
      <c r="C23" s="5"/>
      <c r="D23" s="83"/>
      <c r="E23" s="83"/>
      <c r="F23" s="83"/>
      <c r="H23" s="35"/>
      <c r="I23" s="35"/>
      <c r="J23" s="35"/>
    </row>
    <row r="24" spans="2:10" x14ac:dyDescent="0.25">
      <c r="B24" s="82"/>
      <c r="C24" s="5"/>
      <c r="D24" s="83"/>
      <c r="E24" s="83"/>
      <c r="F24" s="83"/>
      <c r="H24" s="35"/>
      <c r="I24" s="35"/>
      <c r="J24" s="35"/>
    </row>
    <row r="25" spans="2:10" x14ac:dyDescent="0.25">
      <c r="B25" s="82"/>
      <c r="C25" s="5"/>
      <c r="D25" s="83"/>
      <c r="E25" s="83"/>
      <c r="F25" s="83"/>
      <c r="H25" s="35"/>
      <c r="I25" s="35"/>
      <c r="J25" s="35"/>
    </row>
    <row r="26" spans="2:10" ht="18.75" x14ac:dyDescent="0.3">
      <c r="B26" s="121"/>
      <c r="C26" s="30"/>
      <c r="D26" s="122"/>
      <c r="E26" s="122"/>
      <c r="F26" s="122"/>
      <c r="H26" s="35"/>
      <c r="I26" s="35"/>
      <c r="J26" s="35"/>
    </row>
    <row r="27" spans="2:10" ht="18.75" x14ac:dyDescent="0.3">
      <c r="B27" s="123"/>
      <c r="C27" s="123"/>
      <c r="D27" s="120"/>
      <c r="E27" s="120"/>
      <c r="F27" s="120" t="s">
        <v>36</v>
      </c>
      <c r="H27" s="35"/>
      <c r="I27" s="35"/>
      <c r="J27" s="35"/>
    </row>
    <row r="28" spans="2:10" ht="18.75" x14ac:dyDescent="0.3">
      <c r="B28" s="123"/>
      <c r="C28" s="123"/>
      <c r="D28" s="120"/>
      <c r="E28" s="120"/>
      <c r="F28" s="120"/>
      <c r="H28" s="35"/>
      <c r="I28" s="35"/>
      <c r="J28" s="35"/>
    </row>
    <row r="29" spans="2:10" ht="18.75" x14ac:dyDescent="0.3">
      <c r="B29" s="123"/>
      <c r="C29" s="123"/>
      <c r="D29" s="120"/>
      <c r="E29" s="120"/>
      <c r="F29" s="120"/>
      <c r="H29" s="35"/>
      <c r="I29" s="35"/>
      <c r="J29" s="35"/>
    </row>
    <row r="30" spans="2:10" ht="18.75" x14ac:dyDescent="0.3">
      <c r="B30" s="219" t="s">
        <v>37</v>
      </c>
      <c r="C30" s="219"/>
      <c r="D30" s="120"/>
      <c r="E30" s="120"/>
      <c r="F30" s="120"/>
      <c r="H30" s="35"/>
      <c r="I30" s="35"/>
      <c r="J30" s="35"/>
    </row>
    <row r="31" spans="2:10" ht="18.75" x14ac:dyDescent="0.3">
      <c r="B31" s="123"/>
      <c r="C31" s="123"/>
      <c r="D31" s="120"/>
      <c r="E31" s="120"/>
      <c r="F31" s="120"/>
      <c r="H31" s="35"/>
      <c r="I31" s="35"/>
      <c r="J31" s="35"/>
    </row>
    <row r="32" spans="2:10" ht="18.75" x14ac:dyDescent="0.3">
      <c r="B32" s="123"/>
      <c r="C32" s="123"/>
      <c r="D32" s="120"/>
      <c r="E32" s="120"/>
      <c r="F32" s="120"/>
      <c r="H32" s="35"/>
      <c r="I32" s="35"/>
      <c r="J32" s="35"/>
    </row>
    <row r="33" spans="2:6" ht="18.75" x14ac:dyDescent="0.3">
      <c r="B33" s="123" t="s">
        <v>31</v>
      </c>
      <c r="C33" s="123"/>
      <c r="D33" s="120" t="s">
        <v>24</v>
      </c>
      <c r="E33" s="120"/>
      <c r="F33" s="120" t="s">
        <v>23</v>
      </c>
    </row>
    <row r="34" spans="2:6" ht="18.75" x14ac:dyDescent="0.3">
      <c r="B34" s="123"/>
      <c r="C34" s="123"/>
      <c r="D34" s="120"/>
      <c r="E34" s="120"/>
      <c r="F34" s="120"/>
    </row>
  </sheetData>
  <mergeCells count="3">
    <mergeCell ref="B30:C30"/>
    <mergeCell ref="B11:B12"/>
    <mergeCell ref="B16:B17"/>
  </mergeCells>
  <pageMargins left="0.6" right="0.7" top="0.79" bottom="0.75" header="0.3" footer="0.3"/>
  <pageSetup paperSize="9" scale="78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67A2-125E-4512-A760-90F578C55340}">
  <sheetPr>
    <pageSetUpPr fitToPage="1"/>
  </sheetPr>
  <dimension ref="A6:K29"/>
  <sheetViews>
    <sheetView view="pageBreakPreview" topLeftCell="A6" zoomScaleNormal="100" zoomScaleSheetLayoutView="100" workbookViewId="0">
      <selection activeCell="D18" sqref="D18"/>
    </sheetView>
  </sheetViews>
  <sheetFormatPr defaultRowHeight="15" x14ac:dyDescent="0.25"/>
  <cols>
    <col min="1" max="1" width="17.85546875" customWidth="1"/>
    <col min="2" max="2" width="9.85546875" customWidth="1"/>
    <col min="3" max="3" width="14.7109375" style="17" bestFit="1" customWidth="1"/>
    <col min="4" max="4" width="24.7109375" customWidth="1"/>
    <col min="5" max="5" width="15.42578125" customWidth="1"/>
    <col min="9" max="11" width="9.140625" style="84"/>
  </cols>
  <sheetData>
    <row r="6" spans="1:11" ht="22.5" x14ac:dyDescent="0.55000000000000004">
      <c r="A6" s="53" t="s">
        <v>108</v>
      </c>
      <c r="C6" s="74"/>
      <c r="D6" s="50"/>
    </row>
    <row r="7" spans="1:11" x14ac:dyDescent="0.25">
      <c r="D7" s="35" t="s">
        <v>74</v>
      </c>
      <c r="F7" s="35"/>
      <c r="G7" s="35"/>
    </row>
    <row r="8" spans="1:11" ht="18.75" x14ac:dyDescent="0.3">
      <c r="C8" s="74"/>
      <c r="D8" s="52" t="s">
        <v>107</v>
      </c>
      <c r="E8" s="50"/>
      <c r="F8" s="50"/>
      <c r="G8" s="50"/>
    </row>
    <row r="9" spans="1:11" ht="15.75" thickBot="1" x14ac:dyDescent="0.3"/>
    <row r="10" spans="1:11" ht="18" thickBot="1" x14ac:dyDescent="0.35">
      <c r="A10" s="12"/>
      <c r="B10" s="5"/>
      <c r="C10" s="63" t="s">
        <v>53</v>
      </c>
      <c r="D10" s="63" t="s">
        <v>4</v>
      </c>
      <c r="E10" s="63" t="s">
        <v>5</v>
      </c>
    </row>
    <row r="11" spans="1:11" ht="15.75" thickBot="1" x14ac:dyDescent="0.3">
      <c r="A11" s="124" t="s">
        <v>0</v>
      </c>
      <c r="B11" s="61" t="s">
        <v>1</v>
      </c>
      <c r="C11" s="96">
        <v>1.25E-3</v>
      </c>
      <c r="D11" s="62">
        <v>2.5000000000000001E-3</v>
      </c>
      <c r="E11" s="62"/>
      <c r="F11" s="1"/>
    </row>
    <row r="12" spans="1:11" ht="15.75" thickBot="1" x14ac:dyDescent="0.3">
      <c r="A12" s="12"/>
      <c r="B12" s="5"/>
      <c r="C12" s="58"/>
      <c r="D12" s="58"/>
      <c r="E12" s="58"/>
      <c r="F12" s="1"/>
      <c r="G12" s="1"/>
      <c r="K12" s="114"/>
    </row>
    <row r="13" spans="1:11" ht="18" thickBot="1" x14ac:dyDescent="0.35">
      <c r="A13" s="12"/>
      <c r="B13" s="5"/>
      <c r="C13" s="63" t="s">
        <v>53</v>
      </c>
      <c r="D13" s="63" t="s">
        <v>4</v>
      </c>
      <c r="E13" s="63" t="s">
        <v>5</v>
      </c>
      <c r="H13" s="1"/>
      <c r="I13" s="114"/>
    </row>
    <row r="14" spans="1:11" ht="15.75" thickBot="1" x14ac:dyDescent="0.3">
      <c r="A14" s="124" t="s">
        <v>6</v>
      </c>
      <c r="B14" s="61" t="s">
        <v>1</v>
      </c>
      <c r="C14" s="62">
        <v>2.5000000000000001E-3</v>
      </c>
      <c r="D14" s="62">
        <v>5.0000000000000001E-3</v>
      </c>
      <c r="E14" s="62"/>
      <c r="H14" s="84"/>
    </row>
    <row r="15" spans="1:11" x14ac:dyDescent="0.25">
      <c r="A15" s="12"/>
      <c r="B15" s="5"/>
      <c r="C15" s="58"/>
      <c r="D15" s="58"/>
      <c r="E15" s="58"/>
    </row>
    <row r="16" spans="1:11" ht="15.75" thickBot="1" x14ac:dyDescent="0.3">
      <c r="A16" s="12"/>
      <c r="B16" s="5"/>
      <c r="C16" s="58"/>
      <c r="D16" s="58"/>
      <c r="E16" s="58"/>
    </row>
    <row r="17" spans="1:5" ht="18" thickBot="1" x14ac:dyDescent="0.35">
      <c r="A17" s="12"/>
      <c r="B17" s="5"/>
      <c r="C17" s="63" t="s">
        <v>53</v>
      </c>
      <c r="D17" s="63" t="s">
        <v>4</v>
      </c>
      <c r="E17" s="63" t="s">
        <v>5</v>
      </c>
    </row>
    <row r="18" spans="1:5" ht="15.75" thickBot="1" x14ac:dyDescent="0.3">
      <c r="A18" s="124" t="s">
        <v>7</v>
      </c>
      <c r="B18" s="61" t="s">
        <v>1</v>
      </c>
      <c r="C18" s="96">
        <v>1.25E-3</v>
      </c>
      <c r="D18" s="62">
        <v>2.5000000000000001E-3</v>
      </c>
      <c r="E18" s="62"/>
    </row>
    <row r="19" spans="1:5" ht="15.75" thickBot="1" x14ac:dyDescent="0.3">
      <c r="A19" s="82"/>
      <c r="B19" s="5"/>
      <c r="C19" s="83"/>
      <c r="D19" s="83"/>
      <c r="E19" s="83"/>
    </row>
    <row r="20" spans="1:5" ht="18" thickBot="1" x14ac:dyDescent="0.35">
      <c r="A20" s="12"/>
      <c r="B20" s="5"/>
      <c r="C20" s="63" t="s">
        <v>53</v>
      </c>
      <c r="D20" s="63" t="s">
        <v>4</v>
      </c>
      <c r="E20" s="63" t="s">
        <v>5</v>
      </c>
    </row>
    <row r="21" spans="1:5" ht="15.75" thickBot="1" x14ac:dyDescent="0.3">
      <c r="A21" s="124" t="s">
        <v>64</v>
      </c>
      <c r="B21" s="61" t="s">
        <v>1</v>
      </c>
      <c r="C21" s="96">
        <f>0.125%/2</f>
        <v>6.2500000000000001E-4</v>
      </c>
      <c r="D21" s="96">
        <f>0.25%/2</f>
        <v>1.25E-3</v>
      </c>
      <c r="E21" s="62"/>
    </row>
    <row r="22" spans="1:5" x14ac:dyDescent="0.25">
      <c r="A22" s="82"/>
      <c r="B22" s="5"/>
      <c r="C22" s="95"/>
      <c r="D22" s="95"/>
      <c r="E22" s="83"/>
    </row>
    <row r="23" spans="1:5" x14ac:dyDescent="0.25">
      <c r="A23" s="35"/>
      <c r="B23" s="35"/>
      <c r="C23" s="39"/>
      <c r="D23" s="35" t="s">
        <v>36</v>
      </c>
    </row>
    <row r="24" spans="1:5" x14ac:dyDescent="0.25">
      <c r="A24" s="35"/>
      <c r="B24" s="35"/>
      <c r="C24" s="39"/>
      <c r="D24" s="35"/>
    </row>
    <row r="25" spans="1:5" x14ac:dyDescent="0.25">
      <c r="A25" s="35"/>
      <c r="B25" s="35"/>
      <c r="C25" s="39"/>
      <c r="D25" s="35"/>
    </row>
    <row r="26" spans="1:5" x14ac:dyDescent="0.25">
      <c r="A26" s="35"/>
      <c r="B26" s="164" t="s">
        <v>37</v>
      </c>
      <c r="C26" s="164"/>
      <c r="D26" s="35"/>
    </row>
    <row r="27" spans="1:5" x14ac:dyDescent="0.25">
      <c r="A27" s="35"/>
      <c r="B27" s="35"/>
      <c r="C27" s="39"/>
      <c r="D27" s="35"/>
    </row>
    <row r="28" spans="1:5" x14ac:dyDescent="0.25">
      <c r="A28" s="35"/>
      <c r="B28" s="35"/>
      <c r="C28" s="39"/>
      <c r="D28" s="35"/>
    </row>
    <row r="29" spans="1:5" x14ac:dyDescent="0.25">
      <c r="A29" s="35" t="s">
        <v>31</v>
      </c>
      <c r="B29" s="35"/>
      <c r="C29" s="188" t="s">
        <v>24</v>
      </c>
      <c r="D29" s="188"/>
      <c r="E29" s="35" t="s">
        <v>23</v>
      </c>
    </row>
  </sheetData>
  <mergeCells count="2">
    <mergeCell ref="B26:C26"/>
    <mergeCell ref="C29:D29"/>
  </mergeCells>
  <pageMargins left="0.7" right="0.7" top="0.75" bottom="0.75" header="0.3" footer="0.3"/>
  <pageSetup paperSize="9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D6AC-E3EB-4670-ABB9-AEDB536556DD}">
  <sheetPr>
    <pageSetUpPr fitToPage="1"/>
  </sheetPr>
  <dimension ref="A6:K48"/>
  <sheetViews>
    <sheetView view="pageBreakPreview" topLeftCell="A9" zoomScaleNormal="100" zoomScaleSheetLayoutView="100" workbookViewId="0">
      <selection activeCell="L24" sqref="L24"/>
    </sheetView>
  </sheetViews>
  <sheetFormatPr defaultRowHeight="15" x14ac:dyDescent="0.25"/>
  <cols>
    <col min="1" max="1" width="17.85546875" customWidth="1"/>
    <col min="2" max="2" width="9.85546875" customWidth="1"/>
    <col min="3" max="3" width="14.7109375" style="17" bestFit="1" customWidth="1"/>
    <col min="4" max="4" width="24.7109375" customWidth="1"/>
    <col min="5" max="5" width="15.42578125" customWidth="1"/>
    <col min="7" max="8" width="9.140625" style="131"/>
    <col min="9" max="11" width="9.140625" style="84"/>
  </cols>
  <sheetData>
    <row r="6" spans="1:11" ht="23.25" thickBot="1" x14ac:dyDescent="0.6">
      <c r="A6" s="53" t="s">
        <v>108</v>
      </c>
      <c r="C6" s="74"/>
      <c r="D6" s="50"/>
    </row>
    <row r="7" spans="1:11" ht="18" thickBot="1" x14ac:dyDescent="0.35">
      <c r="D7" s="35" t="s">
        <v>74</v>
      </c>
      <c r="F7" s="35"/>
      <c r="G7" s="63" t="s">
        <v>53</v>
      </c>
      <c r="H7" s="63" t="s">
        <v>4</v>
      </c>
    </row>
    <row r="8" spans="1:11" ht="18.75" x14ac:dyDescent="0.3">
      <c r="C8" s="74"/>
      <c r="D8" s="52" t="s">
        <v>107</v>
      </c>
      <c r="E8" s="50"/>
      <c r="F8" s="50"/>
      <c r="G8" s="131">
        <f>+G9/G10</f>
        <v>0.22499999999999998</v>
      </c>
      <c r="H8" s="131">
        <f>+H9/H10</f>
        <v>0.25</v>
      </c>
    </row>
    <row r="9" spans="1:11" ht="23.25" thickBot="1" x14ac:dyDescent="0.6">
      <c r="A9" s="53" t="s">
        <v>132</v>
      </c>
      <c r="G9" s="131">
        <f>+C14+C18+C21</f>
        <v>1.125E-2</v>
      </c>
      <c r="H9" s="131">
        <f>+D14+D18+D21</f>
        <v>0.02</v>
      </c>
    </row>
    <row r="10" spans="1:11" ht="18" thickBot="1" x14ac:dyDescent="0.35">
      <c r="A10" s="12"/>
      <c r="B10" s="5"/>
      <c r="C10" s="63" t="s">
        <v>53</v>
      </c>
      <c r="D10" s="63" t="s">
        <v>4</v>
      </c>
      <c r="E10" s="63" t="s">
        <v>5</v>
      </c>
      <c r="G10" s="131">
        <v>0.05</v>
      </c>
      <c r="H10" s="131">
        <v>0.08</v>
      </c>
    </row>
    <row r="11" spans="1:11" ht="15.75" thickBot="1" x14ac:dyDescent="0.3">
      <c r="A11" s="124" t="s">
        <v>0</v>
      </c>
      <c r="B11" s="61" t="s">
        <v>1</v>
      </c>
      <c r="C11" s="62">
        <v>5.0000000000000001E-3</v>
      </c>
      <c r="D11" s="62">
        <v>0.01</v>
      </c>
      <c r="E11" s="62"/>
      <c r="F11" s="1"/>
    </row>
    <row r="12" spans="1:11" ht="15.75" thickBot="1" x14ac:dyDescent="0.3">
      <c r="A12" s="12"/>
      <c r="B12" s="5"/>
      <c r="C12" s="58"/>
      <c r="D12" s="58"/>
      <c r="E12" s="58"/>
      <c r="F12" s="1"/>
      <c r="K12" s="114"/>
    </row>
    <row r="13" spans="1:11" ht="18" thickBot="1" x14ac:dyDescent="0.35">
      <c r="A13" s="12"/>
      <c r="B13" s="5"/>
      <c r="C13" s="63" t="s">
        <v>53</v>
      </c>
      <c r="D13" s="63" t="s">
        <v>4</v>
      </c>
      <c r="E13" s="63" t="s">
        <v>5</v>
      </c>
      <c r="I13" s="114"/>
    </row>
    <row r="14" spans="1:11" ht="15.75" thickBot="1" x14ac:dyDescent="0.3">
      <c r="A14" s="124" t="s">
        <v>6</v>
      </c>
      <c r="B14" s="61" t="s">
        <v>1</v>
      </c>
      <c r="C14" s="62">
        <v>7.4999999999999997E-3</v>
      </c>
      <c r="D14" s="62">
        <v>1.2500000000000001E-2</v>
      </c>
      <c r="E14" s="62"/>
    </row>
    <row r="15" spans="1:11" x14ac:dyDescent="0.25">
      <c r="A15" s="12"/>
      <c r="B15" s="5"/>
      <c r="C15" s="58"/>
      <c r="D15" s="58"/>
      <c r="E15" s="58"/>
    </row>
    <row r="16" spans="1:11" ht="15.75" thickBot="1" x14ac:dyDescent="0.3">
      <c r="A16" s="12"/>
      <c r="B16" s="5"/>
      <c r="C16" s="58"/>
      <c r="D16" s="58"/>
      <c r="E16" s="58"/>
    </row>
    <row r="17" spans="1:11" ht="18" thickBot="1" x14ac:dyDescent="0.35">
      <c r="A17" s="12"/>
      <c r="B17" s="5"/>
      <c r="C17" s="63" t="s">
        <v>53</v>
      </c>
      <c r="D17" s="63" t="s">
        <v>4</v>
      </c>
      <c r="E17" s="63" t="s">
        <v>5</v>
      </c>
    </row>
    <row r="18" spans="1:11" ht="15.75" thickBot="1" x14ac:dyDescent="0.3">
      <c r="A18" s="124" t="s">
        <v>7</v>
      </c>
      <c r="B18" s="61" t="s">
        <v>1</v>
      </c>
      <c r="C18" s="62">
        <v>2.5000000000000001E-3</v>
      </c>
      <c r="D18" s="62">
        <v>5.0000000000000001E-3</v>
      </c>
      <c r="E18" s="62"/>
    </row>
    <row r="19" spans="1:11" ht="15.75" thickBot="1" x14ac:dyDescent="0.3">
      <c r="A19" s="82"/>
      <c r="B19" s="5"/>
      <c r="C19" s="83"/>
      <c r="D19" s="83"/>
      <c r="E19" s="83"/>
    </row>
    <row r="20" spans="1:11" ht="18" thickBot="1" x14ac:dyDescent="0.35">
      <c r="A20" s="12"/>
      <c r="B20" s="5"/>
      <c r="C20" s="63" t="s">
        <v>53</v>
      </c>
      <c r="D20" s="63" t="s">
        <v>4</v>
      </c>
      <c r="E20" s="63" t="s">
        <v>5</v>
      </c>
    </row>
    <row r="21" spans="1:11" ht="15.75" thickBot="1" x14ac:dyDescent="0.3">
      <c r="A21" s="124" t="s">
        <v>64</v>
      </c>
      <c r="B21" s="61" t="s">
        <v>1</v>
      </c>
      <c r="C21" s="96">
        <v>1.25E-3</v>
      </c>
      <c r="D21" s="62">
        <v>2.5000000000000001E-3</v>
      </c>
      <c r="E21" s="62"/>
    </row>
    <row r="22" spans="1:11" ht="15.75" thickBot="1" x14ac:dyDescent="0.3">
      <c r="A22" s="12"/>
      <c r="B22" s="5"/>
      <c r="C22" s="58"/>
      <c r="D22" s="58"/>
      <c r="E22" s="58"/>
    </row>
    <row r="23" spans="1:11" ht="18" thickBot="1" x14ac:dyDescent="0.35">
      <c r="A23" s="12"/>
      <c r="B23" s="5"/>
      <c r="C23" s="58"/>
      <c r="D23" s="58"/>
      <c r="E23" s="58"/>
      <c r="G23" s="63" t="s">
        <v>53</v>
      </c>
      <c r="H23" s="63" t="s">
        <v>4</v>
      </c>
    </row>
    <row r="24" spans="1:11" ht="23.25" thickBot="1" x14ac:dyDescent="0.6">
      <c r="A24" s="53" t="s">
        <v>133</v>
      </c>
      <c r="B24" s="5"/>
      <c r="C24" s="58"/>
      <c r="D24" s="58"/>
      <c r="E24" s="58"/>
      <c r="G24" s="131">
        <f>+G25/G26</f>
        <v>0.22857142857142856</v>
      </c>
      <c r="H24" s="131">
        <f>+H25/H26</f>
        <v>0.24999999999999997</v>
      </c>
    </row>
    <row r="25" spans="1:11" ht="18" thickBot="1" x14ac:dyDescent="0.35">
      <c r="A25" s="12"/>
      <c r="B25" s="5"/>
      <c r="C25" s="63" t="s">
        <v>53</v>
      </c>
      <c r="D25" s="63" t="s">
        <v>4</v>
      </c>
      <c r="E25" s="63" t="s">
        <v>5</v>
      </c>
      <c r="G25" s="131">
        <f>+C30+C34+C38</f>
        <v>1.6E-2</v>
      </c>
      <c r="H25" s="131">
        <f>+D30+D34+D38</f>
        <v>2.4999999999999998E-2</v>
      </c>
    </row>
    <row r="26" spans="1:11" ht="15.75" thickBot="1" x14ac:dyDescent="0.3">
      <c r="A26" s="210" t="s">
        <v>0</v>
      </c>
      <c r="B26" s="61" t="s">
        <v>1</v>
      </c>
      <c r="C26" s="62">
        <v>5.0000000000000001E-3</v>
      </c>
      <c r="D26" s="62">
        <v>0.01</v>
      </c>
      <c r="E26" s="62"/>
      <c r="F26" s="1"/>
      <c r="G26" s="131">
        <v>7.0000000000000007E-2</v>
      </c>
      <c r="H26" s="131">
        <v>0.1</v>
      </c>
    </row>
    <row r="27" spans="1:11" ht="15.75" thickBot="1" x14ac:dyDescent="0.3">
      <c r="A27" s="212"/>
      <c r="B27" s="61" t="s">
        <v>134</v>
      </c>
      <c r="C27" s="62">
        <v>7.4999999999999997E-3</v>
      </c>
      <c r="D27" s="62">
        <v>1.2500000000000001E-2</v>
      </c>
      <c r="E27" s="62"/>
      <c r="F27" s="1"/>
    </row>
    <row r="28" spans="1:11" ht="15.75" thickBot="1" x14ac:dyDescent="0.3">
      <c r="A28" s="12"/>
      <c r="B28" s="5"/>
      <c r="C28" s="58"/>
      <c r="D28" s="58"/>
      <c r="E28" s="58"/>
      <c r="F28" s="1"/>
      <c r="K28" s="114"/>
    </row>
    <row r="29" spans="1:11" ht="18" thickBot="1" x14ac:dyDescent="0.35">
      <c r="A29" s="12"/>
      <c r="B29" s="5"/>
      <c r="C29" s="63" t="s">
        <v>53</v>
      </c>
      <c r="D29" s="63" t="s">
        <v>4</v>
      </c>
      <c r="E29" s="63" t="s">
        <v>5</v>
      </c>
      <c r="I29" s="114"/>
    </row>
    <row r="30" spans="1:11" ht="15.75" thickBot="1" x14ac:dyDescent="0.3">
      <c r="A30" s="210" t="s">
        <v>6</v>
      </c>
      <c r="B30" s="61" t="s">
        <v>1</v>
      </c>
      <c r="C30" s="62">
        <v>0.01</v>
      </c>
      <c r="D30" s="62">
        <v>1.4999999999999999E-2</v>
      </c>
      <c r="E30" s="62"/>
    </row>
    <row r="31" spans="1:11" ht="15.75" thickBot="1" x14ac:dyDescent="0.3">
      <c r="A31" s="212"/>
      <c r="B31" s="61" t="s">
        <v>134</v>
      </c>
      <c r="C31" s="62">
        <v>1.2500000000000001E-2</v>
      </c>
      <c r="D31" s="62">
        <v>2.2499999999999999E-2</v>
      </c>
      <c r="E31" s="62"/>
    </row>
    <row r="32" spans="1:11" ht="15.75" thickBot="1" x14ac:dyDescent="0.3">
      <c r="A32" s="12"/>
      <c r="B32" s="5"/>
      <c r="C32" s="58"/>
      <c r="D32" s="58"/>
      <c r="E32" s="58"/>
    </row>
    <row r="33" spans="1:5" ht="18" thickBot="1" x14ac:dyDescent="0.35">
      <c r="A33" s="12"/>
      <c r="B33" s="5"/>
      <c r="C33" s="63" t="s">
        <v>53</v>
      </c>
      <c r="D33" s="63" t="s">
        <v>4</v>
      </c>
      <c r="E33" s="63" t="s">
        <v>5</v>
      </c>
    </row>
    <row r="34" spans="1:5" ht="15.75" thickBot="1" x14ac:dyDescent="0.3">
      <c r="A34" s="210" t="s">
        <v>7</v>
      </c>
      <c r="B34" s="61" t="s">
        <v>1</v>
      </c>
      <c r="C34" s="62">
        <v>4.0000000000000001E-3</v>
      </c>
      <c r="D34" s="62">
        <v>6.0000000000000001E-3</v>
      </c>
      <c r="E34" s="62"/>
    </row>
    <row r="35" spans="1:5" ht="15.75" thickBot="1" x14ac:dyDescent="0.3">
      <c r="A35" s="212"/>
      <c r="B35" s="61" t="s">
        <v>134</v>
      </c>
      <c r="C35" s="62">
        <v>5.0000000000000001E-3</v>
      </c>
      <c r="D35" s="62">
        <v>7.4999999999999997E-3</v>
      </c>
      <c r="E35" s="62"/>
    </row>
    <row r="36" spans="1:5" ht="15.75" thickBot="1" x14ac:dyDescent="0.3">
      <c r="A36" s="82"/>
      <c r="B36" s="5"/>
      <c r="C36" s="83"/>
      <c r="D36" s="83"/>
      <c r="E36" s="83"/>
    </row>
    <row r="37" spans="1:5" ht="18" thickBot="1" x14ac:dyDescent="0.35">
      <c r="A37" s="12"/>
      <c r="B37" s="5"/>
      <c r="C37" s="63" t="s">
        <v>53</v>
      </c>
      <c r="D37" s="63" t="s">
        <v>4</v>
      </c>
      <c r="E37" s="63" t="s">
        <v>5</v>
      </c>
    </row>
    <row r="38" spans="1:5" ht="15.75" thickBot="1" x14ac:dyDescent="0.3">
      <c r="A38" s="210" t="s">
        <v>64</v>
      </c>
      <c r="B38" s="61" t="s">
        <v>1</v>
      </c>
      <c r="C38" s="62">
        <v>2E-3</v>
      </c>
      <c r="D38" s="62">
        <v>4.0000000000000001E-3</v>
      </c>
      <c r="E38" s="62"/>
    </row>
    <row r="39" spans="1:5" ht="15.75" thickBot="1" x14ac:dyDescent="0.3">
      <c r="A39" s="212"/>
      <c r="B39" s="61" t="s">
        <v>134</v>
      </c>
      <c r="C39" s="62">
        <v>2.5000000000000001E-3</v>
      </c>
      <c r="D39" s="62">
        <v>5.0000000000000001E-3</v>
      </c>
      <c r="E39" s="62"/>
    </row>
    <row r="40" spans="1:5" x14ac:dyDescent="0.25">
      <c r="A40" s="82"/>
      <c r="B40" s="5"/>
      <c r="C40" s="134"/>
      <c r="D40" s="134"/>
      <c r="E40" s="83"/>
    </row>
    <row r="41" spans="1:5" x14ac:dyDescent="0.25">
      <c r="A41" s="82"/>
      <c r="B41" s="5"/>
      <c r="C41" s="95"/>
      <c r="D41" s="95"/>
      <c r="E41" s="83"/>
    </row>
    <row r="42" spans="1:5" x14ac:dyDescent="0.25">
      <c r="A42" s="35"/>
      <c r="B42" s="35"/>
      <c r="C42" s="39"/>
      <c r="D42" s="35" t="s">
        <v>36</v>
      </c>
    </row>
    <row r="43" spans="1:5" x14ac:dyDescent="0.25">
      <c r="A43" s="35"/>
      <c r="B43" s="35"/>
      <c r="C43" s="39"/>
      <c r="D43" s="35"/>
    </row>
    <row r="44" spans="1:5" x14ac:dyDescent="0.25">
      <c r="A44" s="35"/>
      <c r="B44" s="35"/>
      <c r="C44" s="39"/>
      <c r="D44" s="35"/>
    </row>
    <row r="45" spans="1:5" x14ac:dyDescent="0.25">
      <c r="A45" s="35"/>
      <c r="B45" s="164" t="s">
        <v>37</v>
      </c>
      <c r="C45" s="164"/>
      <c r="D45" s="35"/>
    </row>
    <row r="46" spans="1:5" x14ac:dyDescent="0.25">
      <c r="A46" s="35"/>
      <c r="B46" s="35"/>
      <c r="C46" s="39"/>
      <c r="D46" s="35"/>
    </row>
    <row r="47" spans="1:5" x14ac:dyDescent="0.25">
      <c r="A47" s="35"/>
      <c r="B47" s="35"/>
      <c r="C47" s="39"/>
      <c r="D47" s="35"/>
    </row>
    <row r="48" spans="1:5" x14ac:dyDescent="0.25">
      <c r="A48" s="35" t="s">
        <v>31</v>
      </c>
      <c r="B48" s="35"/>
      <c r="C48" s="188" t="s">
        <v>24</v>
      </c>
      <c r="D48" s="188"/>
      <c r="E48" s="35" t="s">
        <v>23</v>
      </c>
    </row>
  </sheetData>
  <mergeCells count="6">
    <mergeCell ref="B45:C45"/>
    <mergeCell ref="C48:D48"/>
    <mergeCell ref="A26:A27"/>
    <mergeCell ref="A30:A31"/>
    <mergeCell ref="A34:A35"/>
    <mergeCell ref="A38:A39"/>
  </mergeCells>
  <pageMargins left="0.7" right="0.7" top="0.75" bottom="0.75" header="0.3" footer="0.3"/>
  <pageSetup paperSize="9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06B-4B4F-4410-82C4-B83B2131DA7E}">
  <sheetPr>
    <pageSetUpPr fitToPage="1"/>
  </sheetPr>
  <dimension ref="A1:K54"/>
  <sheetViews>
    <sheetView view="pageBreakPreview" zoomScaleNormal="100" zoomScaleSheetLayoutView="100" workbookViewId="0">
      <selection activeCell="H1" sqref="H1:H3"/>
    </sheetView>
  </sheetViews>
  <sheetFormatPr defaultRowHeight="15" x14ac:dyDescent="0.25"/>
  <cols>
    <col min="1" max="1" width="17.85546875" customWidth="1"/>
    <col min="2" max="2" width="9.85546875" customWidth="1"/>
    <col min="3" max="3" width="15.5703125" style="17" customWidth="1"/>
    <col min="4" max="4" width="14.42578125" customWidth="1"/>
    <col min="5" max="5" width="24.7109375" customWidth="1"/>
    <col min="8" max="8" width="23.28515625" bestFit="1" customWidth="1"/>
    <col min="9" max="9" width="26" bestFit="1" customWidth="1"/>
    <col min="10" max="10" width="25.140625" bestFit="1" customWidth="1"/>
    <col min="11" max="11" width="24.7109375" bestFit="1" customWidth="1"/>
  </cols>
  <sheetData>
    <row r="1" spans="1:11" x14ac:dyDescent="0.25">
      <c r="H1" s="131">
        <f>+H2/H3</f>
        <v>0.27499999999999997</v>
      </c>
      <c r="I1" s="131">
        <f>+I2/I3</f>
        <v>0.2857142857142857</v>
      </c>
      <c r="J1" s="131">
        <f>+J2/J3</f>
        <v>0.25</v>
      </c>
    </row>
    <row r="2" spans="1:11" x14ac:dyDescent="0.25">
      <c r="H2" s="1">
        <f>+E13+E21+E25</f>
        <v>2.75E-2</v>
      </c>
      <c r="I2" s="1">
        <f>+D13+D21+D25</f>
        <v>0.02</v>
      </c>
      <c r="J2" s="1">
        <f>+C13+C21+C25</f>
        <v>1.375E-2</v>
      </c>
    </row>
    <row r="3" spans="1:11" x14ac:dyDescent="0.25">
      <c r="H3" s="127">
        <v>0.1</v>
      </c>
      <c r="I3" s="84">
        <v>7.0000000000000007E-2</v>
      </c>
      <c r="J3" s="1">
        <v>5.5E-2</v>
      </c>
    </row>
    <row r="4" spans="1:11" ht="22.5" x14ac:dyDescent="0.55000000000000004">
      <c r="A4" s="53" t="s">
        <v>109</v>
      </c>
      <c r="C4" s="74"/>
      <c r="D4" s="51"/>
      <c r="E4" s="50"/>
      <c r="G4" t="s">
        <v>112</v>
      </c>
      <c r="H4" t="s">
        <v>113</v>
      </c>
      <c r="I4" t="s">
        <v>114</v>
      </c>
      <c r="J4" t="s">
        <v>115</v>
      </c>
      <c r="K4" t="s">
        <v>116</v>
      </c>
    </row>
    <row r="5" spans="1:11" x14ac:dyDescent="0.25">
      <c r="E5" s="35" t="s">
        <v>74</v>
      </c>
      <c r="G5" s="127">
        <v>0</v>
      </c>
      <c r="H5" s="127">
        <v>0.08</v>
      </c>
      <c r="I5" s="127">
        <v>0.06</v>
      </c>
      <c r="J5" s="127">
        <v>0.05</v>
      </c>
      <c r="K5" t="s">
        <v>117</v>
      </c>
    </row>
    <row r="6" spans="1:11" ht="22.5" x14ac:dyDescent="0.55000000000000004">
      <c r="A6" s="207" t="s">
        <v>1</v>
      </c>
      <c r="C6" s="74"/>
      <c r="D6" s="51"/>
      <c r="E6" s="52" t="s">
        <v>110</v>
      </c>
      <c r="H6" s="127">
        <v>0.12</v>
      </c>
      <c r="I6" s="127">
        <v>0.08</v>
      </c>
      <c r="J6" s="127">
        <v>0.06</v>
      </c>
      <c r="K6" t="s">
        <v>118</v>
      </c>
    </row>
    <row r="7" spans="1:11" ht="22.5" x14ac:dyDescent="0.55000000000000004">
      <c r="A7" s="209"/>
      <c r="C7" s="74"/>
      <c r="D7" s="51"/>
      <c r="E7" s="52"/>
      <c r="G7" s="127">
        <v>0.05</v>
      </c>
      <c r="H7" s="127">
        <v>0.15</v>
      </c>
      <c r="I7" s="127">
        <v>0.1</v>
      </c>
      <c r="J7" s="127">
        <v>0.08</v>
      </c>
      <c r="K7" t="s">
        <v>119</v>
      </c>
    </row>
    <row r="8" spans="1:11" ht="15.75" thickBot="1" x14ac:dyDescent="0.3">
      <c r="A8" s="5"/>
      <c r="B8" s="5"/>
      <c r="C8" s="72" t="s">
        <v>130</v>
      </c>
      <c r="D8" s="72" t="s">
        <v>131</v>
      </c>
      <c r="E8" s="72" t="s">
        <v>50</v>
      </c>
      <c r="H8" s="127">
        <v>0.16</v>
      </c>
      <c r="I8" s="127">
        <v>0.12</v>
      </c>
      <c r="J8" s="127">
        <v>0.11</v>
      </c>
      <c r="K8" t="s">
        <v>120</v>
      </c>
    </row>
    <row r="9" spans="1:11" ht="15.75" thickBot="1" x14ac:dyDescent="0.3">
      <c r="A9" s="231" t="s">
        <v>0</v>
      </c>
      <c r="B9" s="61" t="s">
        <v>75</v>
      </c>
      <c r="C9" s="21">
        <v>5.0000000000000001E-3</v>
      </c>
      <c r="D9" s="3">
        <v>0.01</v>
      </c>
      <c r="E9" s="3">
        <v>1.2500000000000001E-2</v>
      </c>
      <c r="H9" s="127">
        <v>0.18</v>
      </c>
      <c r="I9" s="127">
        <v>0.14000000000000001</v>
      </c>
      <c r="J9" s="127">
        <v>0.12</v>
      </c>
      <c r="K9" t="s">
        <v>121</v>
      </c>
    </row>
    <row r="10" spans="1:11" ht="15.75" thickBot="1" x14ac:dyDescent="0.3">
      <c r="A10" s="232"/>
      <c r="B10" s="61" t="s">
        <v>1</v>
      </c>
      <c r="C10" s="21">
        <v>0.01</v>
      </c>
      <c r="D10" s="21">
        <v>1.4999999999999999E-2</v>
      </c>
      <c r="E10" s="21">
        <v>0.02</v>
      </c>
      <c r="H10" s="127">
        <v>0.2</v>
      </c>
      <c r="I10" s="127">
        <v>0.15</v>
      </c>
      <c r="J10" s="127">
        <v>0.13</v>
      </c>
      <c r="K10" t="s">
        <v>122</v>
      </c>
    </row>
    <row r="11" spans="1:11" x14ac:dyDescent="0.25">
      <c r="A11" s="5"/>
      <c r="B11" s="5"/>
      <c r="C11" s="12"/>
      <c r="D11" s="5"/>
      <c r="E11" s="5"/>
      <c r="H11" s="127">
        <v>0.22</v>
      </c>
      <c r="I11" s="127">
        <v>0.16</v>
      </c>
      <c r="J11" s="127">
        <v>0.1</v>
      </c>
      <c r="K11" t="s">
        <v>123</v>
      </c>
    </row>
    <row r="12" spans="1:11" ht="15.75" thickBot="1" x14ac:dyDescent="0.3">
      <c r="A12" s="5"/>
      <c r="B12" s="5"/>
      <c r="C12" s="72" t="s">
        <v>130</v>
      </c>
      <c r="D12" s="72" t="s">
        <v>131</v>
      </c>
      <c r="E12" s="72" t="s">
        <v>50</v>
      </c>
    </row>
    <row r="13" spans="1:11" ht="15.75" thickBot="1" x14ac:dyDescent="0.3">
      <c r="A13" s="233" t="s">
        <v>6</v>
      </c>
      <c r="B13" s="61" t="s">
        <v>75</v>
      </c>
      <c r="C13" s="21">
        <v>0.01</v>
      </c>
      <c r="D13" s="3">
        <v>1.2500000000000001E-2</v>
      </c>
      <c r="E13" s="3">
        <v>1.4999999999999999E-2</v>
      </c>
      <c r="H13" s="127">
        <v>0.18</v>
      </c>
      <c r="I13" s="127">
        <v>0.13</v>
      </c>
      <c r="J13" s="127">
        <v>0.11</v>
      </c>
    </row>
    <row r="14" spans="1:11" ht="15.75" thickBot="1" x14ac:dyDescent="0.3">
      <c r="A14" s="234"/>
      <c r="B14" s="61" t="s">
        <v>1</v>
      </c>
      <c r="C14" s="21">
        <v>1.7500000000000002E-2</v>
      </c>
      <c r="D14" s="21">
        <v>0.02</v>
      </c>
      <c r="E14" s="21">
        <v>2.75E-2</v>
      </c>
      <c r="H14" s="1">
        <f>+E14+E22+E26</f>
        <v>4.4999999999999998E-2</v>
      </c>
      <c r="I14" s="1">
        <f>+D14+D22+D26</f>
        <v>3.2500000000000001E-2</v>
      </c>
      <c r="J14" s="1">
        <f>+C14+C22+C26</f>
        <v>2.5000000000000001E-2</v>
      </c>
    </row>
    <row r="15" spans="1:11" x14ac:dyDescent="0.25">
      <c r="A15" s="5"/>
      <c r="B15" s="5"/>
      <c r="C15" s="5"/>
      <c r="D15" s="5"/>
      <c r="E15" s="5"/>
      <c r="H15" s="131">
        <f>+H14/H13</f>
        <v>0.25</v>
      </c>
      <c r="I15" s="131">
        <f>+I14/I13</f>
        <v>0.25</v>
      </c>
      <c r="J15" s="131">
        <f>+J14/J13</f>
        <v>0.22727272727272729</v>
      </c>
    </row>
    <row r="16" spans="1:11" x14ac:dyDescent="0.25">
      <c r="A16" s="5"/>
      <c r="B16" s="5"/>
      <c r="C16" s="72" t="s">
        <v>3</v>
      </c>
      <c r="D16" s="72" t="s">
        <v>4</v>
      </c>
      <c r="E16" s="72" t="s">
        <v>5</v>
      </c>
    </row>
    <row r="17" spans="1:11" x14ac:dyDescent="0.25">
      <c r="A17" s="172" t="s">
        <v>26</v>
      </c>
      <c r="B17" s="2" t="s">
        <v>6</v>
      </c>
      <c r="C17" s="21">
        <v>0.02</v>
      </c>
      <c r="D17" s="3">
        <v>0.02</v>
      </c>
      <c r="E17" s="3"/>
    </row>
    <row r="18" spans="1:11" x14ac:dyDescent="0.25">
      <c r="A18" s="172"/>
      <c r="B18" s="2" t="s">
        <v>0</v>
      </c>
      <c r="C18" s="21">
        <v>1.4999999999999999E-2</v>
      </c>
      <c r="D18" s="3">
        <v>1.4999999999999999E-2</v>
      </c>
      <c r="E18" s="3"/>
    </row>
    <row r="19" spans="1:11" x14ac:dyDescent="0.25">
      <c r="A19" s="5"/>
      <c r="B19" s="5"/>
      <c r="C19" s="12"/>
      <c r="D19" s="5"/>
      <c r="E19" s="5"/>
    </row>
    <row r="20" spans="1:11" ht="15.75" thickBot="1" x14ac:dyDescent="0.3">
      <c r="A20" s="5"/>
      <c r="B20" s="5"/>
      <c r="C20" s="72" t="s">
        <v>130</v>
      </c>
      <c r="D20" s="72" t="s">
        <v>131</v>
      </c>
      <c r="E20" s="72" t="s">
        <v>50</v>
      </c>
    </row>
    <row r="21" spans="1:11" ht="15.75" thickBot="1" x14ac:dyDescent="0.3">
      <c r="A21" s="235" t="s">
        <v>7</v>
      </c>
      <c r="B21" s="61" t="s">
        <v>75</v>
      </c>
      <c r="C21" s="21">
        <v>2.5000000000000001E-3</v>
      </c>
      <c r="D21" s="3">
        <v>5.0000000000000001E-3</v>
      </c>
      <c r="E21" s="3">
        <v>7.4999999999999997E-3</v>
      </c>
    </row>
    <row r="22" spans="1:11" ht="15.75" thickBot="1" x14ac:dyDescent="0.3">
      <c r="A22" s="236"/>
      <c r="B22" s="61" t="s">
        <v>1</v>
      </c>
      <c r="C22" s="21">
        <v>5.0000000000000001E-3</v>
      </c>
      <c r="D22" s="21">
        <v>7.4999999999999997E-3</v>
      </c>
      <c r="E22" s="21">
        <v>0.01</v>
      </c>
    </row>
    <row r="23" spans="1:11" x14ac:dyDescent="0.25">
      <c r="B23" s="5"/>
      <c r="C23"/>
    </row>
    <row r="24" spans="1:11" ht="15.75" thickBot="1" x14ac:dyDescent="0.3">
      <c r="B24" s="5"/>
      <c r="C24" s="72" t="s">
        <v>130</v>
      </c>
      <c r="D24" s="72" t="s">
        <v>131</v>
      </c>
      <c r="E24" s="72" t="s">
        <v>50</v>
      </c>
      <c r="I24" s="1">
        <f>+D35+D43+D47</f>
        <v>5.5E-2</v>
      </c>
      <c r="J24" s="1">
        <f>+C35+C43+C47</f>
        <v>3.7499999999999999E-2</v>
      </c>
    </row>
    <row r="25" spans="1:11" ht="15.75" thickBot="1" x14ac:dyDescent="0.3">
      <c r="A25" s="229" t="s">
        <v>15</v>
      </c>
      <c r="B25" s="61" t="s">
        <v>75</v>
      </c>
      <c r="C25" s="110">
        <v>1.25E-3</v>
      </c>
      <c r="D25" s="3">
        <v>2.5000000000000001E-3</v>
      </c>
      <c r="E25" s="3">
        <v>5.0000000000000001E-3</v>
      </c>
      <c r="I25" s="131">
        <f>+I24/I27</f>
        <v>0.27499999999999997</v>
      </c>
      <c r="J25" s="131">
        <f>+J24/J27</f>
        <v>0.25</v>
      </c>
    </row>
    <row r="26" spans="1:11" ht="32.25" thickBot="1" x14ac:dyDescent="0.3">
      <c r="A26" s="230"/>
      <c r="B26" s="61" t="s">
        <v>1</v>
      </c>
      <c r="C26" s="21">
        <v>2.5000000000000001E-3</v>
      </c>
      <c r="D26" s="21">
        <v>5.0000000000000001E-3</v>
      </c>
      <c r="E26" s="21">
        <v>7.4999999999999997E-3</v>
      </c>
      <c r="I26" s="125" t="s">
        <v>124</v>
      </c>
      <c r="J26" s="125" t="s">
        <v>125</v>
      </c>
      <c r="K26" s="126" t="s">
        <v>116</v>
      </c>
    </row>
    <row r="27" spans="1:11" ht="16.5" thickBot="1" x14ac:dyDescent="0.3">
      <c r="B27" s="5"/>
      <c r="C27" s="130"/>
      <c r="D27" s="18"/>
      <c r="E27" s="18"/>
      <c r="I27" s="128">
        <v>0.2</v>
      </c>
      <c r="J27" s="128">
        <v>0.15</v>
      </c>
      <c r="K27" s="132" t="s">
        <v>126</v>
      </c>
    </row>
    <row r="28" spans="1:11" ht="16.5" thickBot="1" x14ac:dyDescent="0.3">
      <c r="A28" s="207" t="s">
        <v>99</v>
      </c>
      <c r="I28" s="129">
        <v>0.3</v>
      </c>
      <c r="J28" s="129">
        <v>0.2</v>
      </c>
      <c r="K28" s="133" t="s">
        <v>127</v>
      </c>
    </row>
    <row r="29" spans="1:11" x14ac:dyDescent="0.25">
      <c r="A29" s="208"/>
    </row>
    <row r="30" spans="1:11" x14ac:dyDescent="0.25">
      <c r="A30" s="5"/>
      <c r="B30" s="5"/>
      <c r="C30" s="72" t="s">
        <v>3</v>
      </c>
      <c r="D30" s="72" t="s">
        <v>4</v>
      </c>
      <c r="E30" s="72" t="s">
        <v>5</v>
      </c>
      <c r="I30" s="1">
        <f>+D36+D44+D48</f>
        <v>6.9999999999999993E-2</v>
      </c>
      <c r="J30" s="1">
        <f>+C36+C44+C48</f>
        <v>5.2500000000000005E-2</v>
      </c>
    </row>
    <row r="31" spans="1:11" x14ac:dyDescent="0.25">
      <c r="A31" s="222" t="s">
        <v>0</v>
      </c>
      <c r="B31" s="2" t="s">
        <v>128</v>
      </c>
      <c r="C31" s="21">
        <v>1.7500000000000002E-2</v>
      </c>
      <c r="D31" s="3">
        <v>2.75E-2</v>
      </c>
      <c r="E31" s="3"/>
      <c r="I31" s="131">
        <f>+I30/I28</f>
        <v>0.23333333333333331</v>
      </c>
      <c r="J31" s="131">
        <f>+J30/J28</f>
        <v>0.26250000000000001</v>
      </c>
    </row>
    <row r="32" spans="1:11" x14ac:dyDescent="0.25">
      <c r="A32" s="223"/>
      <c r="B32" s="2" t="s">
        <v>129</v>
      </c>
      <c r="C32" s="21">
        <v>2.2499999999999999E-2</v>
      </c>
      <c r="D32" s="3">
        <v>0.03</v>
      </c>
      <c r="E32" s="3"/>
    </row>
    <row r="33" spans="1:5" x14ac:dyDescent="0.25">
      <c r="A33" s="5"/>
      <c r="B33" s="5"/>
      <c r="C33" s="12"/>
      <c r="D33" s="5"/>
      <c r="E33" s="5"/>
    </row>
    <row r="34" spans="1:5" x14ac:dyDescent="0.25">
      <c r="A34" s="5"/>
      <c r="B34" s="5"/>
      <c r="C34" s="72" t="s">
        <v>3</v>
      </c>
      <c r="D34" s="72" t="s">
        <v>4</v>
      </c>
      <c r="E34" s="72" t="s">
        <v>5</v>
      </c>
    </row>
    <row r="35" spans="1:5" x14ac:dyDescent="0.25">
      <c r="A35" s="204" t="s">
        <v>6</v>
      </c>
      <c r="B35" s="2" t="s">
        <v>128</v>
      </c>
      <c r="C35" s="21">
        <v>2.5000000000000001E-2</v>
      </c>
      <c r="D35" s="3">
        <v>3.5000000000000003E-2</v>
      </c>
      <c r="E35" s="3"/>
    </row>
    <row r="36" spans="1:5" x14ac:dyDescent="0.25">
      <c r="A36" s="224"/>
      <c r="B36" s="2" t="s">
        <v>129</v>
      </c>
      <c r="C36" s="21">
        <v>3.5000000000000003E-2</v>
      </c>
      <c r="D36" s="3">
        <v>4.4999999999999998E-2</v>
      </c>
      <c r="E36" s="3"/>
    </row>
    <row r="37" spans="1:5" x14ac:dyDescent="0.25">
      <c r="A37" s="5"/>
      <c r="B37" s="5"/>
      <c r="C37" s="12"/>
      <c r="D37" s="5"/>
      <c r="E37" s="5"/>
    </row>
    <row r="38" spans="1:5" x14ac:dyDescent="0.25">
      <c r="A38" s="5"/>
      <c r="B38" s="5"/>
      <c r="C38" s="72" t="s">
        <v>3</v>
      </c>
      <c r="D38" s="72" t="s">
        <v>4</v>
      </c>
      <c r="E38" s="72" t="s">
        <v>5</v>
      </c>
    </row>
    <row r="39" spans="1:5" x14ac:dyDescent="0.25">
      <c r="A39" s="172" t="s">
        <v>26</v>
      </c>
      <c r="B39" s="2" t="s">
        <v>6</v>
      </c>
      <c r="C39" s="21">
        <v>0.02</v>
      </c>
      <c r="D39" s="3">
        <v>0.02</v>
      </c>
      <c r="E39" s="3"/>
    </row>
    <row r="40" spans="1:5" x14ac:dyDescent="0.25">
      <c r="A40" s="172"/>
      <c r="B40" s="2" t="s">
        <v>0</v>
      </c>
      <c r="C40" s="21">
        <v>1.4999999999999999E-2</v>
      </c>
      <c r="D40" s="3">
        <v>1.4999999999999999E-2</v>
      </c>
      <c r="E40" s="3"/>
    </row>
    <row r="41" spans="1:5" x14ac:dyDescent="0.25">
      <c r="A41" s="5"/>
      <c r="B41" s="5"/>
      <c r="C41" s="12"/>
      <c r="D41" s="5"/>
      <c r="E41" s="5"/>
    </row>
    <row r="42" spans="1:5" x14ac:dyDescent="0.25">
      <c r="A42" s="5"/>
      <c r="B42" s="5"/>
      <c r="C42" s="72" t="s">
        <v>3</v>
      </c>
      <c r="D42" s="72" t="s">
        <v>4</v>
      </c>
      <c r="E42" s="72" t="s">
        <v>5</v>
      </c>
    </row>
    <row r="43" spans="1:5" x14ac:dyDescent="0.25">
      <c r="A43" s="225" t="s">
        <v>7</v>
      </c>
      <c r="B43" s="2" t="s">
        <v>128</v>
      </c>
      <c r="C43" s="21">
        <v>7.4999999999999997E-3</v>
      </c>
      <c r="D43" s="3">
        <v>1.2500000000000001E-2</v>
      </c>
      <c r="E43" s="3"/>
    </row>
    <row r="44" spans="1:5" x14ac:dyDescent="0.25">
      <c r="A44" s="226"/>
      <c r="B44" s="2" t="s">
        <v>129</v>
      </c>
      <c r="C44" s="21">
        <v>0.01</v>
      </c>
      <c r="D44" s="3">
        <v>1.4999999999999999E-2</v>
      </c>
      <c r="E44" s="3"/>
    </row>
    <row r="46" spans="1:5" x14ac:dyDescent="0.25">
      <c r="B46" s="5"/>
      <c r="C46" s="72" t="s">
        <v>3</v>
      </c>
      <c r="D46" s="72" t="s">
        <v>4</v>
      </c>
      <c r="E46" s="72" t="s">
        <v>5</v>
      </c>
    </row>
    <row r="47" spans="1:5" x14ac:dyDescent="0.25">
      <c r="A47" s="227" t="s">
        <v>15</v>
      </c>
      <c r="B47" s="2" t="s">
        <v>128</v>
      </c>
      <c r="C47" s="21">
        <v>5.0000000000000001E-3</v>
      </c>
      <c r="D47" s="3">
        <v>7.4999999999999997E-3</v>
      </c>
      <c r="E47" s="3"/>
    </row>
    <row r="48" spans="1:5" x14ac:dyDescent="0.25">
      <c r="A48" s="228"/>
      <c r="B48" s="2" t="s">
        <v>129</v>
      </c>
      <c r="C48" s="21">
        <v>7.4999999999999997E-3</v>
      </c>
      <c r="D48" s="3">
        <v>0.01</v>
      </c>
      <c r="E48" s="3"/>
    </row>
    <row r="50" spans="1:5" x14ac:dyDescent="0.25">
      <c r="A50" s="35"/>
      <c r="B50" s="35"/>
      <c r="C50" s="39"/>
      <c r="D50" s="35"/>
      <c r="E50" s="35" t="s">
        <v>36</v>
      </c>
    </row>
    <row r="51" spans="1:5" x14ac:dyDescent="0.25">
      <c r="A51" s="35"/>
      <c r="B51" s="164" t="s">
        <v>37</v>
      </c>
      <c r="C51" s="164"/>
      <c r="D51" s="35"/>
      <c r="E51" s="35"/>
    </row>
    <row r="52" spans="1:5" x14ac:dyDescent="0.25">
      <c r="A52" s="35"/>
      <c r="B52" s="35"/>
      <c r="C52" s="39"/>
      <c r="D52" s="35"/>
      <c r="E52" s="35"/>
    </row>
    <row r="53" spans="1:5" x14ac:dyDescent="0.25">
      <c r="A53" s="35"/>
      <c r="B53" s="35"/>
      <c r="C53" s="39"/>
      <c r="D53" s="35"/>
      <c r="E53" s="35"/>
    </row>
    <row r="54" spans="1:5" x14ac:dyDescent="0.25">
      <c r="A54" s="35" t="s">
        <v>31</v>
      </c>
      <c r="B54" s="35"/>
      <c r="C54" s="39" t="s">
        <v>24</v>
      </c>
      <c r="D54" s="35"/>
      <c r="E54" s="35" t="s">
        <v>23</v>
      </c>
    </row>
  </sheetData>
  <mergeCells count="13">
    <mergeCell ref="A25:A26"/>
    <mergeCell ref="A6:A7"/>
    <mergeCell ref="A9:A10"/>
    <mergeCell ref="A13:A14"/>
    <mergeCell ref="A17:A18"/>
    <mergeCell ref="A21:A22"/>
    <mergeCell ref="B51:C51"/>
    <mergeCell ref="A28:A29"/>
    <mergeCell ref="A31:A32"/>
    <mergeCell ref="A35:A36"/>
    <mergeCell ref="A39:A40"/>
    <mergeCell ref="A43:A44"/>
    <mergeCell ref="A47:A48"/>
  </mergeCells>
  <pageMargins left="0.7" right="0.7" top="0.62" bottom="0.47" header="0.3" footer="0.3"/>
  <pageSetup paperSize="9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C0F7-7E30-42D1-B472-392987EC9E25}">
  <sheetPr>
    <pageSetUpPr fitToPage="1"/>
  </sheetPr>
  <dimension ref="A1:K54"/>
  <sheetViews>
    <sheetView view="pageBreakPreview" zoomScaleNormal="100" zoomScaleSheetLayoutView="100" workbookViewId="0">
      <selection activeCell="G13" sqref="G13"/>
    </sheetView>
  </sheetViews>
  <sheetFormatPr defaultRowHeight="15" x14ac:dyDescent="0.25"/>
  <cols>
    <col min="1" max="1" width="17.85546875" customWidth="1"/>
    <col min="2" max="2" width="9.85546875" customWidth="1"/>
    <col min="3" max="3" width="15.5703125" style="17" customWidth="1"/>
    <col min="4" max="4" width="14.42578125" customWidth="1"/>
    <col min="5" max="5" width="24.7109375" customWidth="1"/>
    <col min="8" max="8" width="23.28515625" bestFit="1" customWidth="1"/>
    <col min="9" max="9" width="26" bestFit="1" customWidth="1"/>
    <col min="10" max="10" width="25.140625" bestFit="1" customWidth="1"/>
    <col min="11" max="11" width="24.7109375" bestFit="1" customWidth="1"/>
  </cols>
  <sheetData>
    <row r="1" spans="1:10" x14ac:dyDescent="0.25">
      <c r="H1" s="131"/>
      <c r="I1" s="131"/>
      <c r="J1" s="131"/>
    </row>
    <row r="2" spans="1:10" x14ac:dyDescent="0.25">
      <c r="H2" s="1"/>
      <c r="I2" s="1"/>
      <c r="J2" s="1"/>
    </row>
    <row r="3" spans="1:10" ht="15.75" thickBot="1" x14ac:dyDescent="0.3">
      <c r="H3" s="127"/>
      <c r="I3" s="127"/>
      <c r="J3" s="1"/>
    </row>
    <row r="4" spans="1:10" ht="23.25" thickBot="1" x14ac:dyDescent="0.6">
      <c r="A4" s="53" t="s">
        <v>109</v>
      </c>
      <c r="C4" s="74"/>
      <c r="D4" s="51"/>
      <c r="E4" s="50"/>
      <c r="I4" s="125"/>
    </row>
    <row r="5" spans="1:10" x14ac:dyDescent="0.25">
      <c r="E5" s="35" t="s">
        <v>74</v>
      </c>
      <c r="G5" s="127"/>
      <c r="H5" s="127"/>
      <c r="I5" s="127"/>
      <c r="J5" s="127"/>
    </row>
    <row r="6" spans="1:10" ht="22.5" x14ac:dyDescent="0.55000000000000004">
      <c r="A6" s="207" t="s">
        <v>1</v>
      </c>
      <c r="C6" s="74"/>
      <c r="D6" s="51"/>
      <c r="E6" s="52" t="s">
        <v>110</v>
      </c>
      <c r="H6" s="127"/>
      <c r="I6" s="127"/>
      <c r="J6" s="127"/>
    </row>
    <row r="7" spans="1:10" ht="22.5" x14ac:dyDescent="0.55000000000000004">
      <c r="A7" s="209"/>
      <c r="C7" s="74"/>
      <c r="D7" s="51"/>
      <c r="E7" s="52"/>
      <c r="G7" s="127"/>
      <c r="H7" s="127"/>
      <c r="I7" s="127"/>
      <c r="J7" s="127"/>
    </row>
    <row r="8" spans="1:10" ht="15.75" thickBot="1" x14ac:dyDescent="0.3">
      <c r="A8" s="5"/>
      <c r="B8" s="5"/>
      <c r="C8" s="72" t="s">
        <v>3</v>
      </c>
      <c r="D8" s="72" t="s">
        <v>4</v>
      </c>
      <c r="E8" s="72"/>
      <c r="H8" s="127"/>
      <c r="I8" s="127"/>
      <c r="J8" s="127"/>
    </row>
    <row r="9" spans="1:10" ht="15.75" thickBot="1" x14ac:dyDescent="0.3">
      <c r="A9" s="231" t="s">
        <v>0</v>
      </c>
      <c r="B9" s="61" t="s">
        <v>75</v>
      </c>
      <c r="C9" s="21">
        <v>5.0000000000000001E-3</v>
      </c>
      <c r="D9" s="3">
        <v>1.2500000000000001E-2</v>
      </c>
      <c r="E9" s="3"/>
      <c r="H9" s="127"/>
      <c r="I9" s="127"/>
      <c r="J9" s="127"/>
    </row>
    <row r="10" spans="1:10" ht="15.75" thickBot="1" x14ac:dyDescent="0.3">
      <c r="A10" s="232"/>
      <c r="B10" s="61" t="s">
        <v>1</v>
      </c>
      <c r="C10" s="21">
        <v>1.2500000000000001E-2</v>
      </c>
      <c r="D10" s="21">
        <v>0.02</v>
      </c>
      <c r="E10" s="21"/>
      <c r="H10" s="127"/>
      <c r="I10" s="127"/>
      <c r="J10" s="127"/>
    </row>
    <row r="11" spans="1:10" x14ac:dyDescent="0.25">
      <c r="A11" s="5"/>
      <c r="B11" s="5"/>
      <c r="C11" s="12"/>
      <c r="D11" s="5"/>
      <c r="E11" s="5"/>
      <c r="H11" s="127"/>
      <c r="I11" s="127"/>
      <c r="J11" s="127"/>
    </row>
    <row r="12" spans="1:10" ht="15.75" thickBot="1" x14ac:dyDescent="0.3">
      <c r="A12" s="5"/>
      <c r="B12" s="5"/>
      <c r="C12" s="72" t="s">
        <v>3</v>
      </c>
      <c r="D12" s="72" t="s">
        <v>4</v>
      </c>
      <c r="E12" s="72"/>
    </row>
    <row r="13" spans="1:10" ht="15.75" thickBot="1" x14ac:dyDescent="0.3">
      <c r="A13" s="233" t="s">
        <v>6</v>
      </c>
      <c r="B13" s="61" t="s">
        <v>75</v>
      </c>
      <c r="C13" s="21">
        <v>0.01</v>
      </c>
      <c r="D13" s="3">
        <v>1.7500000000000002E-2</v>
      </c>
      <c r="E13" s="3"/>
      <c r="H13" s="127"/>
      <c r="I13" s="127"/>
      <c r="J13" s="127"/>
    </row>
    <row r="14" spans="1:10" ht="15.75" thickBot="1" x14ac:dyDescent="0.3">
      <c r="A14" s="234"/>
      <c r="B14" s="61" t="s">
        <v>1</v>
      </c>
      <c r="C14" s="21">
        <v>0.02</v>
      </c>
      <c r="D14" s="21">
        <v>0.03</v>
      </c>
      <c r="E14" s="21"/>
      <c r="H14" s="1"/>
      <c r="I14" s="1"/>
      <c r="J14" s="1"/>
    </row>
    <row r="15" spans="1:10" x14ac:dyDescent="0.25">
      <c r="A15" s="5"/>
      <c r="B15" s="5"/>
      <c r="C15" s="5"/>
      <c r="D15" s="5"/>
      <c r="E15" s="5"/>
      <c r="H15" s="131"/>
      <c r="I15" s="131"/>
      <c r="J15" s="131"/>
    </row>
    <row r="16" spans="1:10" x14ac:dyDescent="0.25">
      <c r="A16" s="5"/>
      <c r="B16" s="5"/>
      <c r="C16" s="72" t="s">
        <v>3</v>
      </c>
      <c r="D16" s="72" t="s">
        <v>4</v>
      </c>
      <c r="E16" s="72"/>
    </row>
    <row r="17" spans="1:11" x14ac:dyDescent="0.25">
      <c r="A17" s="172" t="s">
        <v>26</v>
      </c>
      <c r="B17" s="2" t="s">
        <v>6</v>
      </c>
      <c r="C17" s="21">
        <v>0.02</v>
      </c>
      <c r="D17" s="3">
        <v>0.02</v>
      </c>
      <c r="E17" s="3"/>
    </row>
    <row r="18" spans="1:11" x14ac:dyDescent="0.25">
      <c r="A18" s="172"/>
      <c r="B18" s="2" t="s">
        <v>0</v>
      </c>
      <c r="C18" s="21">
        <v>1.4999999999999999E-2</v>
      </c>
      <c r="D18" s="3">
        <v>1.4999999999999999E-2</v>
      </c>
      <c r="E18" s="3"/>
    </row>
    <row r="19" spans="1:11" x14ac:dyDescent="0.25">
      <c r="A19" s="5"/>
      <c r="B19" s="5"/>
      <c r="C19" s="12"/>
      <c r="D19" s="5"/>
      <c r="E19" s="5"/>
    </row>
    <row r="20" spans="1:11" ht="15.75" thickBot="1" x14ac:dyDescent="0.3">
      <c r="A20" s="5"/>
      <c r="B20" s="5"/>
      <c r="C20" s="72" t="s">
        <v>3</v>
      </c>
      <c r="D20" s="72" t="s">
        <v>4</v>
      </c>
      <c r="E20" s="72"/>
    </row>
    <row r="21" spans="1:11" ht="15.75" thickBot="1" x14ac:dyDescent="0.3">
      <c r="A21" s="235" t="s">
        <v>7</v>
      </c>
      <c r="B21" s="61" t="s">
        <v>75</v>
      </c>
      <c r="C21" s="21">
        <v>2.5000000000000001E-3</v>
      </c>
      <c r="D21" s="3">
        <v>5.0000000000000001E-3</v>
      </c>
      <c r="E21" s="3"/>
    </row>
    <row r="22" spans="1:11" ht="15.75" thickBot="1" x14ac:dyDescent="0.3">
      <c r="A22" s="236"/>
      <c r="B22" s="61" t="s">
        <v>1</v>
      </c>
      <c r="C22" s="21">
        <v>5.0000000000000001E-3</v>
      </c>
      <c r="D22" s="21">
        <v>0.01</v>
      </c>
      <c r="E22" s="21"/>
    </row>
    <row r="23" spans="1:11" x14ac:dyDescent="0.25">
      <c r="B23" s="5"/>
      <c r="C23"/>
    </row>
    <row r="24" spans="1:11" ht="15.75" thickBot="1" x14ac:dyDescent="0.3">
      <c r="B24" s="5"/>
      <c r="C24" s="72" t="s">
        <v>3</v>
      </c>
      <c r="D24" s="72" t="s">
        <v>4</v>
      </c>
      <c r="E24" s="72"/>
      <c r="I24" s="1"/>
      <c r="J24" s="1"/>
    </row>
    <row r="25" spans="1:11" ht="15.75" thickBot="1" x14ac:dyDescent="0.3">
      <c r="A25" s="229" t="s">
        <v>15</v>
      </c>
      <c r="B25" s="61" t="s">
        <v>75</v>
      </c>
      <c r="C25" s="110">
        <v>1.25E-3</v>
      </c>
      <c r="D25" s="3">
        <v>2.5000000000000001E-3</v>
      </c>
      <c r="E25" s="3"/>
      <c r="I25" s="131"/>
      <c r="J25" s="131"/>
    </row>
    <row r="26" spans="1:11" ht="16.5" thickBot="1" x14ac:dyDescent="0.3">
      <c r="A26" s="230"/>
      <c r="B26" s="61" t="s">
        <v>1</v>
      </c>
      <c r="C26" s="21">
        <v>2.5000000000000001E-3</v>
      </c>
      <c r="D26" s="21">
        <v>5.0000000000000001E-3</v>
      </c>
      <c r="E26" s="21"/>
      <c r="I26" s="125"/>
      <c r="J26" s="125"/>
      <c r="K26" s="126"/>
    </row>
    <row r="27" spans="1:11" ht="16.5" thickBot="1" x14ac:dyDescent="0.3">
      <c r="B27" s="5"/>
      <c r="C27" s="130"/>
      <c r="D27" s="18"/>
      <c r="E27" s="18"/>
      <c r="I27" s="128"/>
      <c r="J27" s="128"/>
      <c r="K27" s="132"/>
    </row>
    <row r="28" spans="1:11" ht="16.5" thickBot="1" x14ac:dyDescent="0.3">
      <c r="A28" s="207" t="s">
        <v>99</v>
      </c>
      <c r="I28" s="129"/>
      <c r="J28" s="129"/>
      <c r="K28" s="133"/>
    </row>
    <row r="29" spans="1:11" x14ac:dyDescent="0.25">
      <c r="A29" s="208"/>
    </row>
    <row r="30" spans="1:11" x14ac:dyDescent="0.25">
      <c r="A30" s="5"/>
      <c r="B30" s="5"/>
      <c r="C30" s="72" t="s">
        <v>3</v>
      </c>
      <c r="D30" s="72" t="s">
        <v>4</v>
      </c>
      <c r="E30" s="72" t="s">
        <v>5</v>
      </c>
      <c r="I30" s="1"/>
      <c r="J30" s="1"/>
    </row>
    <row r="31" spans="1:11" x14ac:dyDescent="0.25">
      <c r="A31" s="222" t="s">
        <v>0</v>
      </c>
      <c r="B31" s="2" t="s">
        <v>128</v>
      </c>
      <c r="C31" s="21">
        <v>1.7500000000000002E-2</v>
      </c>
      <c r="D31" s="3">
        <v>2.75E-2</v>
      </c>
      <c r="E31" s="3"/>
      <c r="I31" s="131"/>
      <c r="J31" s="131"/>
    </row>
    <row r="32" spans="1:11" x14ac:dyDescent="0.25">
      <c r="A32" s="223"/>
      <c r="B32" s="2" t="s">
        <v>129</v>
      </c>
      <c r="C32" s="21">
        <v>2.2499999999999999E-2</v>
      </c>
      <c r="D32" s="3">
        <v>0.03</v>
      </c>
      <c r="E32" s="3"/>
    </row>
    <row r="33" spans="1:5" x14ac:dyDescent="0.25">
      <c r="A33" s="5"/>
      <c r="B33" s="5"/>
      <c r="C33" s="12"/>
      <c r="D33" s="5"/>
      <c r="E33" s="5"/>
    </row>
    <row r="34" spans="1:5" x14ac:dyDescent="0.25">
      <c r="A34" s="5"/>
      <c r="B34" s="5"/>
      <c r="C34" s="72" t="s">
        <v>3</v>
      </c>
      <c r="D34" s="72" t="s">
        <v>4</v>
      </c>
      <c r="E34" s="72" t="s">
        <v>5</v>
      </c>
    </row>
    <row r="35" spans="1:5" x14ac:dyDescent="0.25">
      <c r="A35" s="204" t="s">
        <v>6</v>
      </c>
      <c r="B35" s="2" t="s">
        <v>128</v>
      </c>
      <c r="C35" s="21">
        <v>2.5000000000000001E-2</v>
      </c>
      <c r="D35" s="3">
        <v>3.5000000000000003E-2</v>
      </c>
      <c r="E35" s="3"/>
    </row>
    <row r="36" spans="1:5" x14ac:dyDescent="0.25">
      <c r="A36" s="224"/>
      <c r="B36" s="2" t="s">
        <v>129</v>
      </c>
      <c r="C36" s="21">
        <v>3.5000000000000003E-2</v>
      </c>
      <c r="D36" s="3">
        <v>4.4999999999999998E-2</v>
      </c>
      <c r="E36" s="3"/>
    </row>
    <row r="37" spans="1:5" x14ac:dyDescent="0.25">
      <c r="A37" s="5"/>
      <c r="B37" s="5"/>
      <c r="C37" s="12"/>
      <c r="D37" s="5"/>
      <c r="E37" s="5"/>
    </row>
    <row r="38" spans="1:5" x14ac:dyDescent="0.25">
      <c r="A38" s="5"/>
      <c r="B38" s="5"/>
      <c r="C38" s="72" t="s">
        <v>3</v>
      </c>
      <c r="D38" s="72" t="s">
        <v>4</v>
      </c>
      <c r="E38" s="72" t="s">
        <v>5</v>
      </c>
    </row>
    <row r="39" spans="1:5" x14ac:dyDescent="0.25">
      <c r="A39" s="172" t="s">
        <v>26</v>
      </c>
      <c r="B39" s="2" t="s">
        <v>6</v>
      </c>
      <c r="C39" s="21">
        <v>0.02</v>
      </c>
      <c r="D39" s="3">
        <v>0.02</v>
      </c>
      <c r="E39" s="3"/>
    </row>
    <row r="40" spans="1:5" x14ac:dyDescent="0.25">
      <c r="A40" s="172"/>
      <c r="B40" s="2" t="s">
        <v>0</v>
      </c>
      <c r="C40" s="21">
        <v>1.4999999999999999E-2</v>
      </c>
      <c r="D40" s="3">
        <v>1.4999999999999999E-2</v>
      </c>
      <c r="E40" s="3"/>
    </row>
    <row r="41" spans="1:5" x14ac:dyDescent="0.25">
      <c r="A41" s="5"/>
      <c r="B41" s="5"/>
      <c r="C41" s="12"/>
      <c r="D41" s="5"/>
      <c r="E41" s="5"/>
    </row>
    <row r="42" spans="1:5" x14ac:dyDescent="0.25">
      <c r="A42" s="5"/>
      <c r="B42" s="5"/>
      <c r="C42" s="72" t="s">
        <v>3</v>
      </c>
      <c r="D42" s="72" t="s">
        <v>4</v>
      </c>
      <c r="E42" s="72" t="s">
        <v>5</v>
      </c>
    </row>
    <row r="43" spans="1:5" x14ac:dyDescent="0.25">
      <c r="A43" s="225" t="s">
        <v>7</v>
      </c>
      <c r="B43" s="2" t="s">
        <v>128</v>
      </c>
      <c r="C43" s="21">
        <v>7.4999999999999997E-3</v>
      </c>
      <c r="D43" s="3">
        <v>1.2500000000000001E-2</v>
      </c>
      <c r="E43" s="3"/>
    </row>
    <row r="44" spans="1:5" x14ac:dyDescent="0.25">
      <c r="A44" s="226"/>
      <c r="B44" s="2" t="s">
        <v>129</v>
      </c>
      <c r="C44" s="21">
        <v>0.01</v>
      </c>
      <c r="D44" s="3">
        <v>1.4999999999999999E-2</v>
      </c>
      <c r="E44" s="3"/>
    </row>
    <row r="46" spans="1:5" x14ac:dyDescent="0.25">
      <c r="B46" s="5"/>
      <c r="C46" s="72" t="s">
        <v>3</v>
      </c>
      <c r="D46" s="72" t="s">
        <v>4</v>
      </c>
      <c r="E46" s="72" t="s">
        <v>5</v>
      </c>
    </row>
    <row r="47" spans="1:5" x14ac:dyDescent="0.25">
      <c r="A47" s="227" t="s">
        <v>15</v>
      </c>
      <c r="B47" s="2" t="s">
        <v>128</v>
      </c>
      <c r="C47" s="21">
        <v>5.0000000000000001E-3</v>
      </c>
      <c r="D47" s="3">
        <v>7.4999999999999997E-3</v>
      </c>
      <c r="E47" s="3"/>
    </row>
    <row r="48" spans="1:5" x14ac:dyDescent="0.25">
      <c r="A48" s="228"/>
      <c r="B48" s="2" t="s">
        <v>129</v>
      </c>
      <c r="C48" s="21">
        <v>7.4999999999999997E-3</v>
      </c>
      <c r="D48" s="3">
        <v>0.01</v>
      </c>
      <c r="E48" s="3"/>
    </row>
    <row r="50" spans="1:5" x14ac:dyDescent="0.25">
      <c r="A50" s="35"/>
      <c r="B50" s="35"/>
      <c r="C50" s="39"/>
      <c r="D50" s="35"/>
      <c r="E50" s="35" t="s">
        <v>36</v>
      </c>
    </row>
    <row r="51" spans="1:5" x14ac:dyDescent="0.25">
      <c r="A51" s="35"/>
      <c r="B51" s="164" t="s">
        <v>37</v>
      </c>
      <c r="C51" s="164"/>
      <c r="D51" s="35"/>
      <c r="E51" s="35"/>
    </row>
    <row r="52" spans="1:5" x14ac:dyDescent="0.25">
      <c r="A52" s="35"/>
      <c r="B52" s="35"/>
      <c r="C52" s="39"/>
      <c r="D52" s="35"/>
      <c r="E52" s="35"/>
    </row>
    <row r="53" spans="1:5" x14ac:dyDescent="0.25">
      <c r="A53" s="35"/>
      <c r="B53" s="35"/>
      <c r="C53" s="39"/>
      <c r="D53" s="35"/>
      <c r="E53" s="35"/>
    </row>
    <row r="54" spans="1:5" x14ac:dyDescent="0.25">
      <c r="A54" s="35" t="s">
        <v>31</v>
      </c>
      <c r="B54" s="35"/>
      <c r="C54" s="39" t="s">
        <v>24</v>
      </c>
      <c r="D54" s="35"/>
      <c r="E54" s="35" t="s">
        <v>23</v>
      </c>
    </row>
  </sheetData>
  <mergeCells count="13">
    <mergeCell ref="B51:C51"/>
    <mergeCell ref="A28:A29"/>
    <mergeCell ref="A31:A32"/>
    <mergeCell ref="A35:A36"/>
    <mergeCell ref="A39:A40"/>
    <mergeCell ref="A43:A44"/>
    <mergeCell ref="A47:A48"/>
    <mergeCell ref="A25:A26"/>
    <mergeCell ref="A6:A7"/>
    <mergeCell ref="A9:A10"/>
    <mergeCell ref="A13:A14"/>
    <mergeCell ref="A17:A18"/>
    <mergeCell ref="A21:A22"/>
  </mergeCells>
  <pageMargins left="0.7" right="0.7" top="0.62" bottom="0.47" header="0.3" footer="0.3"/>
  <pageSetup paperSize="9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7DCF-5A74-4A88-9E10-A4D9B648534A}">
  <dimension ref="B1:Q38"/>
  <sheetViews>
    <sheetView showGridLines="0" view="pageBreakPreview" topLeftCell="A2" zoomScaleNormal="100" zoomScaleSheetLayoutView="100" workbookViewId="0">
      <selection activeCell="P4" sqref="J4:P18"/>
    </sheetView>
  </sheetViews>
  <sheetFormatPr defaultColWidth="9.140625" defaultRowHeight="15" x14ac:dyDescent="0.25"/>
  <cols>
    <col min="1" max="1" width="3.85546875" style="35" customWidth="1"/>
    <col min="2" max="2" width="20.5703125" style="35" bestFit="1" customWidth="1"/>
    <col min="3" max="3" width="20.85546875" style="35" customWidth="1"/>
    <col min="4" max="4" width="19.28515625" style="57" customWidth="1"/>
    <col min="5" max="5" width="17.28515625" style="57" customWidth="1"/>
    <col min="6" max="7" width="16.140625" style="57" customWidth="1"/>
    <col min="8" max="8" width="22.7109375" style="5" bestFit="1" customWidth="1"/>
    <col min="9" max="9" width="7.5703125" style="5" bestFit="1" customWidth="1"/>
    <col min="10" max="10" width="14.7109375" style="35" bestFit="1" customWidth="1"/>
    <col min="11" max="12" width="9.140625" style="57" bestFit="1" customWidth="1"/>
    <col min="13" max="13" width="8.140625" style="57" customWidth="1"/>
    <col min="14" max="14" width="11.5703125" style="57" bestFit="1" customWidth="1"/>
    <col min="15" max="15" width="9.5703125" style="57" bestFit="1" customWidth="1"/>
    <col min="16" max="17" width="9.140625" style="56"/>
    <col min="18" max="16384" width="9.140625" style="35"/>
  </cols>
  <sheetData>
    <row r="1" spans="2:15" ht="25.15" customHeight="1" x14ac:dyDescent="0.25">
      <c r="B1" s="39"/>
      <c r="K1" s="57">
        <v>0.18</v>
      </c>
      <c r="L1" s="57">
        <v>0.42</v>
      </c>
      <c r="M1" s="57">
        <v>0.18</v>
      </c>
      <c r="N1" s="57">
        <v>0.44</v>
      </c>
    </row>
    <row r="2" spans="2:15" ht="25.15" customHeight="1" x14ac:dyDescent="0.25"/>
    <row r="3" spans="2:15" ht="25.15" customHeight="1" x14ac:dyDescent="0.25">
      <c r="K3" s="137"/>
      <c r="L3" s="137"/>
      <c r="M3" s="137"/>
      <c r="N3" s="137"/>
    </row>
    <row r="4" spans="2:15" ht="34.9" customHeight="1" x14ac:dyDescent="0.25">
      <c r="B4" s="25" t="s">
        <v>139</v>
      </c>
      <c r="H4" s="64"/>
      <c r="K4" s="138"/>
      <c r="L4" s="138"/>
      <c r="M4" s="138"/>
      <c r="N4" s="138"/>
      <c r="O4" s="138"/>
    </row>
    <row r="5" spans="2:15" x14ac:dyDescent="0.25">
      <c r="B5" s="12"/>
      <c r="F5" s="57" t="s">
        <v>74</v>
      </c>
    </row>
    <row r="6" spans="2:15" x14ac:dyDescent="0.25">
      <c r="B6" s="12" t="s">
        <v>142</v>
      </c>
      <c r="F6" s="57" t="s">
        <v>138</v>
      </c>
      <c r="K6" s="138"/>
      <c r="L6" s="138"/>
      <c r="M6" s="138"/>
      <c r="N6" s="138"/>
    </row>
    <row r="7" spans="2:15" ht="15.75" thickBot="1" x14ac:dyDescent="0.3">
      <c r="B7" s="12"/>
      <c r="H7" s="35"/>
      <c r="I7" s="35"/>
      <c r="K7" s="137"/>
      <c r="L7" s="137"/>
      <c r="M7" s="137"/>
      <c r="N7" s="137"/>
    </row>
    <row r="8" spans="2:15" ht="18" thickBot="1" x14ac:dyDescent="0.35">
      <c r="B8" s="12"/>
      <c r="C8" s="5"/>
      <c r="D8" s="136">
        <v>0.7</v>
      </c>
      <c r="E8" s="136">
        <v>0.71</v>
      </c>
      <c r="F8" s="136">
        <v>1.01</v>
      </c>
      <c r="G8" s="136">
        <v>1.1100000000000001</v>
      </c>
      <c r="H8" s="35"/>
      <c r="I8" s="35"/>
      <c r="J8" s="99"/>
    </row>
    <row r="9" spans="2:15" ht="19.5" thickBot="1" x14ac:dyDescent="0.3">
      <c r="B9" s="210" t="s">
        <v>0</v>
      </c>
      <c r="C9" s="61" t="s">
        <v>140</v>
      </c>
      <c r="D9" s="62">
        <v>0.01</v>
      </c>
      <c r="E9" s="62">
        <v>1.4999999999999999E-2</v>
      </c>
      <c r="F9" s="62">
        <v>0.02</v>
      </c>
      <c r="G9" s="62">
        <v>2.5000000000000001E-2</v>
      </c>
      <c r="H9" s="102"/>
      <c r="I9" s="103"/>
      <c r="K9" s="137"/>
      <c r="L9" s="137"/>
      <c r="M9" s="137"/>
      <c r="N9" s="137"/>
    </row>
    <row r="10" spans="2:15" ht="19.5" thickBot="1" x14ac:dyDescent="0.3">
      <c r="B10" s="211"/>
      <c r="C10" s="61" t="s">
        <v>141</v>
      </c>
      <c r="D10" s="62">
        <v>1.2500000000000001E-2</v>
      </c>
      <c r="E10" s="62">
        <v>1.7500000000000002E-2</v>
      </c>
      <c r="F10" s="62">
        <v>2.2499999999999999E-2</v>
      </c>
      <c r="G10" s="62">
        <v>2.75E-2</v>
      </c>
      <c r="H10" s="104"/>
      <c r="I10" s="105"/>
      <c r="K10" s="138"/>
      <c r="L10" s="138"/>
      <c r="M10" s="138"/>
      <c r="N10" s="138"/>
    </row>
    <row r="11" spans="2:15" ht="19.5" thickBot="1" x14ac:dyDescent="0.3">
      <c r="B11" s="212"/>
      <c r="C11" s="61" t="s">
        <v>2</v>
      </c>
      <c r="D11" s="62">
        <v>1.4999999999999999E-2</v>
      </c>
      <c r="E11" s="62">
        <v>2.2499999999999999E-2</v>
      </c>
      <c r="F11" s="62">
        <v>2.5000000000000001E-2</v>
      </c>
      <c r="G11" s="62">
        <v>0.03</v>
      </c>
      <c r="H11" s="104"/>
      <c r="I11" s="105"/>
    </row>
    <row r="12" spans="2:15" ht="19.5" thickBot="1" x14ac:dyDescent="0.3">
      <c r="B12" s="12"/>
      <c r="C12" s="5"/>
      <c r="D12" s="58"/>
      <c r="E12" s="58"/>
      <c r="F12" s="58"/>
      <c r="G12" s="58"/>
      <c r="H12" s="104"/>
      <c r="I12" s="105"/>
      <c r="J12" s="97"/>
      <c r="K12" s="138"/>
      <c r="L12" s="138"/>
      <c r="M12" s="138"/>
      <c r="N12" s="138"/>
    </row>
    <row r="13" spans="2:15" ht="19.5" thickBot="1" x14ac:dyDescent="0.35">
      <c r="B13" s="12"/>
      <c r="C13" s="5"/>
      <c r="D13" s="136">
        <v>0.7</v>
      </c>
      <c r="E13" s="136">
        <v>0.71</v>
      </c>
      <c r="F13" s="136">
        <v>1.01</v>
      </c>
      <c r="G13" s="136">
        <v>1.1100000000000001</v>
      </c>
      <c r="H13" s="104"/>
      <c r="I13" s="105"/>
      <c r="J13" s="97"/>
      <c r="K13" s="137"/>
      <c r="L13" s="137"/>
      <c r="M13" s="137"/>
      <c r="N13" s="137"/>
    </row>
    <row r="14" spans="2:15" ht="19.5" thickBot="1" x14ac:dyDescent="0.3">
      <c r="B14" s="210" t="s">
        <v>6</v>
      </c>
      <c r="C14" s="61" t="s">
        <v>140</v>
      </c>
      <c r="D14" s="62">
        <v>1.4999999999999999E-2</v>
      </c>
      <c r="E14" s="62">
        <v>0.02</v>
      </c>
      <c r="F14" s="62">
        <v>2.75E-2</v>
      </c>
      <c r="G14" s="62">
        <v>3.2500000000000001E-2</v>
      </c>
      <c r="H14" s="104"/>
      <c r="I14" s="105"/>
      <c r="J14" s="57"/>
    </row>
    <row r="15" spans="2:15" ht="19.5" thickBot="1" x14ac:dyDescent="0.3">
      <c r="B15" s="211"/>
      <c r="C15" s="61" t="s">
        <v>141</v>
      </c>
      <c r="D15" s="62">
        <v>1.7500000000000002E-2</v>
      </c>
      <c r="E15" s="62">
        <v>2.5000000000000001E-2</v>
      </c>
      <c r="F15" s="62">
        <v>3.2500000000000001E-2</v>
      </c>
      <c r="G15" s="62">
        <v>0.04</v>
      </c>
      <c r="H15" s="104"/>
      <c r="I15" s="105"/>
      <c r="K15" s="137"/>
      <c r="L15" s="137"/>
      <c r="M15" s="137"/>
      <c r="N15" s="137"/>
    </row>
    <row r="16" spans="2:15" ht="19.5" thickBot="1" x14ac:dyDescent="0.3">
      <c r="B16" s="212"/>
      <c r="C16" s="61" t="s">
        <v>2</v>
      </c>
      <c r="D16" s="62">
        <v>0.02</v>
      </c>
      <c r="E16" s="62">
        <v>2.75E-2</v>
      </c>
      <c r="F16" s="62">
        <v>3.5000000000000003E-2</v>
      </c>
      <c r="G16" s="62">
        <v>4.2500000000000003E-2</v>
      </c>
      <c r="H16" s="104"/>
      <c r="I16" s="105"/>
      <c r="K16" s="138"/>
      <c r="L16" s="138"/>
      <c r="M16" s="138"/>
      <c r="N16" s="138"/>
    </row>
    <row r="17" spans="2:14" ht="19.5" thickBot="1" x14ac:dyDescent="0.3">
      <c r="B17" s="12"/>
      <c r="C17" s="5"/>
      <c r="D17" s="58"/>
      <c r="E17" s="58"/>
      <c r="F17" s="58"/>
      <c r="G17" s="58"/>
      <c r="H17" s="104"/>
      <c r="I17" s="105"/>
    </row>
    <row r="18" spans="2:14" ht="18" thickBot="1" x14ac:dyDescent="0.35">
      <c r="B18" s="12"/>
      <c r="C18" s="5"/>
      <c r="D18" s="63" t="s">
        <v>53</v>
      </c>
      <c r="E18" s="63" t="s">
        <v>4</v>
      </c>
      <c r="F18" s="63" t="s">
        <v>5</v>
      </c>
      <c r="G18" s="63"/>
      <c r="H18" s="35"/>
      <c r="I18" s="35"/>
      <c r="J18" s="97"/>
      <c r="K18" s="138"/>
      <c r="L18" s="138"/>
      <c r="M18" s="138"/>
      <c r="N18" s="138"/>
    </row>
    <row r="19" spans="2:14" ht="15.75" thickBot="1" x14ac:dyDescent="0.3">
      <c r="B19" s="171" t="s">
        <v>26</v>
      </c>
      <c r="C19" s="61" t="s">
        <v>6</v>
      </c>
      <c r="D19" s="62">
        <v>0.02</v>
      </c>
      <c r="E19" s="62">
        <v>0.02</v>
      </c>
      <c r="F19" s="62"/>
      <c r="G19" s="62"/>
      <c r="H19" s="35"/>
      <c r="I19" s="35"/>
      <c r="J19" s="97"/>
      <c r="K19" s="137"/>
      <c r="L19" s="137"/>
      <c r="M19" s="137"/>
      <c r="N19" s="137"/>
    </row>
    <row r="20" spans="2:14" ht="15.75" thickBot="1" x14ac:dyDescent="0.3">
      <c r="B20" s="171"/>
      <c r="C20" s="61" t="s">
        <v>0</v>
      </c>
      <c r="D20" s="62">
        <v>1.4999999999999999E-2</v>
      </c>
      <c r="E20" s="62">
        <v>1.4999999999999999E-2</v>
      </c>
      <c r="F20" s="62"/>
      <c r="G20" s="62"/>
      <c r="H20" s="35"/>
      <c r="I20" s="35"/>
    </row>
    <row r="21" spans="2:14" ht="15.75" thickBot="1" x14ac:dyDescent="0.3">
      <c r="B21" s="12"/>
      <c r="C21" s="5"/>
      <c r="D21" s="58"/>
      <c r="E21" s="58"/>
      <c r="F21" s="58"/>
      <c r="G21" s="58"/>
      <c r="H21" s="35"/>
      <c r="I21" s="35"/>
    </row>
    <row r="22" spans="2:14" ht="18" thickBot="1" x14ac:dyDescent="0.35">
      <c r="B22" s="12"/>
      <c r="C22" s="5"/>
      <c r="D22" s="136">
        <v>0.7</v>
      </c>
      <c r="E22" s="136">
        <v>0.71</v>
      </c>
      <c r="F22" s="136">
        <v>1.01</v>
      </c>
      <c r="G22" s="136">
        <v>1.1100000000000001</v>
      </c>
      <c r="H22" s="35"/>
      <c r="I22" s="35"/>
    </row>
    <row r="23" spans="2:14" ht="15.75" thickBot="1" x14ac:dyDescent="0.3">
      <c r="B23" s="210" t="s">
        <v>7</v>
      </c>
      <c r="C23" s="61" t="s">
        <v>140</v>
      </c>
      <c r="D23" s="62">
        <v>5.0000000000000001E-3</v>
      </c>
      <c r="E23" s="62">
        <v>7.4999999999999997E-3</v>
      </c>
      <c r="F23" s="62">
        <v>0.01</v>
      </c>
      <c r="G23" s="62">
        <v>1.2500000000000001E-2</v>
      </c>
      <c r="H23" s="35"/>
      <c r="I23" s="35"/>
    </row>
    <row r="24" spans="2:14" ht="15.75" thickBot="1" x14ac:dyDescent="0.3">
      <c r="B24" s="211"/>
      <c r="C24" s="61" t="s">
        <v>141</v>
      </c>
      <c r="D24" s="62">
        <v>7.4999999999999997E-3</v>
      </c>
      <c r="E24" s="62">
        <v>0.01</v>
      </c>
      <c r="F24" s="62">
        <v>1.2500000000000001E-2</v>
      </c>
      <c r="G24" s="62">
        <v>1.4999999999999999E-2</v>
      </c>
      <c r="H24" s="35"/>
      <c r="I24" s="35"/>
    </row>
    <row r="25" spans="2:14" ht="15.75" thickBot="1" x14ac:dyDescent="0.3">
      <c r="B25" s="212"/>
      <c r="C25" s="61" t="s">
        <v>2</v>
      </c>
      <c r="D25" s="62">
        <v>0.01</v>
      </c>
      <c r="E25" s="62">
        <v>1.2500000000000001E-2</v>
      </c>
      <c r="F25" s="62">
        <v>1.4999999999999999E-2</v>
      </c>
      <c r="G25" s="62">
        <v>1.7500000000000002E-2</v>
      </c>
      <c r="H25" s="35"/>
      <c r="I25" s="35"/>
    </row>
    <row r="26" spans="2:14" ht="15.75" thickBot="1" x14ac:dyDescent="0.3">
      <c r="B26" s="82"/>
      <c r="C26" s="5"/>
      <c r="D26" s="83"/>
      <c r="E26" s="83"/>
      <c r="F26" s="83"/>
      <c r="G26" s="83"/>
      <c r="H26" s="35"/>
      <c r="I26" s="35"/>
    </row>
    <row r="27" spans="2:14" ht="18" thickBot="1" x14ac:dyDescent="0.35">
      <c r="B27" s="12"/>
      <c r="C27" s="5"/>
      <c r="D27" s="136">
        <v>0.7</v>
      </c>
      <c r="E27" s="136">
        <v>0.71</v>
      </c>
      <c r="F27" s="136">
        <v>1.01</v>
      </c>
      <c r="G27" s="136">
        <v>1.1100000000000001</v>
      </c>
      <c r="H27" s="35"/>
      <c r="I27" s="35"/>
    </row>
    <row r="28" spans="2:14" ht="15.75" thickBot="1" x14ac:dyDescent="0.3">
      <c r="B28" s="210" t="s">
        <v>64</v>
      </c>
      <c r="C28" s="61" t="s">
        <v>140</v>
      </c>
      <c r="D28" s="62">
        <v>2.5000000000000001E-3</v>
      </c>
      <c r="E28" s="62">
        <v>2.5000000000000001E-3</v>
      </c>
      <c r="F28" s="62">
        <v>5.0000000000000001E-3</v>
      </c>
      <c r="G28" s="62">
        <v>7.4999999999999997E-3</v>
      </c>
      <c r="H28" s="35"/>
      <c r="I28" s="35"/>
    </row>
    <row r="29" spans="2:14" ht="15.75" thickBot="1" x14ac:dyDescent="0.3">
      <c r="B29" s="211"/>
      <c r="C29" s="61" t="s">
        <v>141</v>
      </c>
      <c r="D29" s="62">
        <v>2.5000000000000001E-3</v>
      </c>
      <c r="E29" s="62">
        <v>5.0000000000000001E-3</v>
      </c>
      <c r="F29" s="62">
        <v>7.4999999999999997E-3</v>
      </c>
      <c r="G29" s="62">
        <v>0.01</v>
      </c>
      <c r="H29" s="35"/>
      <c r="I29" s="35"/>
    </row>
    <row r="30" spans="2:14" ht="15.75" thickBot="1" x14ac:dyDescent="0.3">
      <c r="B30" s="212"/>
      <c r="C30" s="61" t="s">
        <v>2</v>
      </c>
      <c r="D30" s="62">
        <v>5.0000000000000001E-3</v>
      </c>
      <c r="E30" s="62">
        <v>7.4999999999999997E-3</v>
      </c>
      <c r="F30" s="62">
        <v>0.01</v>
      </c>
      <c r="G30" s="62">
        <v>0.01</v>
      </c>
      <c r="H30" s="35"/>
      <c r="I30" s="35"/>
    </row>
    <row r="31" spans="2:14" x14ac:dyDescent="0.25">
      <c r="F31" s="57" t="s">
        <v>36</v>
      </c>
      <c r="H31" s="35"/>
      <c r="I31" s="35"/>
    </row>
    <row r="32" spans="2:14" x14ac:dyDescent="0.25">
      <c r="H32" s="35"/>
      <c r="I32" s="35"/>
    </row>
    <row r="33" spans="2:9" x14ac:dyDescent="0.25">
      <c r="H33" s="35"/>
      <c r="I33" s="35"/>
    </row>
    <row r="34" spans="2:9" x14ac:dyDescent="0.25">
      <c r="B34" s="164" t="s">
        <v>37</v>
      </c>
      <c r="C34" s="164"/>
      <c r="H34" s="35"/>
      <c r="I34" s="35"/>
    </row>
    <row r="35" spans="2:9" x14ac:dyDescent="0.25">
      <c r="H35" s="35"/>
      <c r="I35" s="35"/>
    </row>
    <row r="36" spans="2:9" x14ac:dyDescent="0.25">
      <c r="H36" s="35"/>
      <c r="I36" s="35"/>
    </row>
    <row r="37" spans="2:9" x14ac:dyDescent="0.25">
      <c r="B37" s="35" t="s">
        <v>31</v>
      </c>
      <c r="D37" s="57" t="s">
        <v>24</v>
      </c>
      <c r="F37" s="57" t="s">
        <v>23</v>
      </c>
      <c r="H37" s="35"/>
      <c r="I37" s="35"/>
    </row>
    <row r="38" spans="2:9" x14ac:dyDescent="0.25">
      <c r="H38" s="35"/>
      <c r="I38" s="35"/>
    </row>
  </sheetData>
  <mergeCells count="6">
    <mergeCell ref="B34:C34"/>
    <mergeCell ref="B9:B11"/>
    <mergeCell ref="B14:B16"/>
    <mergeCell ref="B19:B20"/>
    <mergeCell ref="B23:B25"/>
    <mergeCell ref="B28:B30"/>
  </mergeCells>
  <pageMargins left="0.6" right="0.7" top="0.79" bottom="0.75" header="0.3" footer="0.3"/>
  <pageSetup paperSize="9" scale="7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6D2A-95A3-4C6C-A6D2-FABEDED911D9}">
  <dimension ref="B1:Q34"/>
  <sheetViews>
    <sheetView showGridLines="0" view="pageBreakPreview" zoomScaleNormal="100" zoomScaleSheetLayoutView="100" workbookViewId="0">
      <selection activeCell="O1" sqref="J1:O13"/>
    </sheetView>
  </sheetViews>
  <sheetFormatPr defaultColWidth="9.140625" defaultRowHeight="15" x14ac:dyDescent="0.25"/>
  <cols>
    <col min="1" max="1" width="3.85546875" style="35" customWidth="1"/>
    <col min="2" max="2" width="20.5703125" style="35" bestFit="1" customWidth="1"/>
    <col min="3" max="3" width="20.85546875" style="35" customWidth="1"/>
    <col min="4" max="4" width="19.28515625" style="57" customWidth="1"/>
    <col min="5" max="5" width="17.28515625" style="57" customWidth="1"/>
    <col min="6" max="7" width="16.140625" style="57" customWidth="1"/>
    <col min="8" max="8" width="22.7109375" style="5" bestFit="1" customWidth="1"/>
    <col min="9" max="9" width="7.5703125" style="5" bestFit="1" customWidth="1"/>
    <col min="10" max="10" width="14.7109375" style="35" bestFit="1" customWidth="1"/>
    <col min="11" max="12" width="9.140625" style="57" bestFit="1" customWidth="1"/>
    <col min="13" max="13" width="8.140625" style="57" customWidth="1"/>
    <col min="14" max="14" width="11.5703125" style="57" bestFit="1" customWidth="1"/>
    <col min="15" max="15" width="9.5703125" style="57" bestFit="1" customWidth="1"/>
    <col min="16" max="17" width="9.140625" style="56"/>
    <col min="18" max="16384" width="9.140625" style="35"/>
  </cols>
  <sheetData>
    <row r="1" spans="2:17" ht="25.15" customHeight="1" x14ac:dyDescent="0.25">
      <c r="B1" s="39"/>
    </row>
    <row r="2" spans="2:17" ht="25.15" customHeight="1" x14ac:dyDescent="0.25"/>
    <row r="3" spans="2:17" ht="25.15" customHeight="1" x14ac:dyDescent="0.25">
      <c r="K3" s="137"/>
      <c r="L3" s="137"/>
      <c r="M3" s="137"/>
      <c r="N3" s="137"/>
    </row>
    <row r="4" spans="2:17" ht="34.9" customHeight="1" x14ac:dyDescent="0.25">
      <c r="B4" s="25" t="s">
        <v>139</v>
      </c>
      <c r="H4" s="64"/>
      <c r="K4" s="138"/>
      <c r="L4" s="138"/>
      <c r="M4" s="138"/>
      <c r="N4" s="138"/>
      <c r="O4" s="138"/>
    </row>
    <row r="5" spans="2:17" x14ac:dyDescent="0.25">
      <c r="B5" s="12"/>
      <c r="F5" s="57" t="s">
        <v>74</v>
      </c>
    </row>
    <row r="6" spans="2:17" x14ac:dyDescent="0.25">
      <c r="B6" s="12" t="s">
        <v>143</v>
      </c>
      <c r="F6" s="57" t="s">
        <v>138</v>
      </c>
      <c r="K6" s="138"/>
      <c r="L6" s="138"/>
      <c r="M6" s="138"/>
      <c r="N6" s="138"/>
    </row>
    <row r="7" spans="2:17" ht="15.75" thickBot="1" x14ac:dyDescent="0.3">
      <c r="B7" s="12"/>
      <c r="H7" s="35"/>
      <c r="I7" s="35"/>
      <c r="K7" s="137"/>
      <c r="L7" s="137"/>
      <c r="M7" s="137"/>
      <c r="N7" s="137"/>
    </row>
    <row r="8" spans="2:17" ht="18" thickBot="1" x14ac:dyDescent="0.35">
      <c r="B8" s="12"/>
      <c r="C8" s="5"/>
      <c r="D8" s="136">
        <v>0.7</v>
      </c>
      <c r="E8" s="136">
        <v>0.71</v>
      </c>
      <c r="F8" s="136">
        <v>1.01</v>
      </c>
      <c r="G8" s="136">
        <v>1.1100000000000001</v>
      </c>
      <c r="H8" s="35"/>
      <c r="I8" s="35"/>
      <c r="J8" s="99"/>
    </row>
    <row r="9" spans="2:17" ht="19.5" thickBot="1" x14ac:dyDescent="0.3">
      <c r="B9" s="210" t="s">
        <v>0</v>
      </c>
      <c r="C9" s="61" t="s">
        <v>144</v>
      </c>
      <c r="D9" s="62">
        <v>7.4999999999999997E-3</v>
      </c>
      <c r="E9" s="62">
        <v>1.2500000000000001E-2</v>
      </c>
      <c r="F9" s="62">
        <v>1.7500000000000002E-2</v>
      </c>
      <c r="G9" s="62">
        <v>2.2499999999999999E-2</v>
      </c>
      <c r="H9" s="102"/>
      <c r="I9" s="103"/>
      <c r="K9" s="137"/>
      <c r="L9" s="137"/>
      <c r="M9" s="137"/>
      <c r="N9" s="137"/>
    </row>
    <row r="10" spans="2:17" ht="19.5" thickBot="1" x14ac:dyDescent="0.3">
      <c r="B10" s="212"/>
      <c r="C10" s="61" t="s">
        <v>134</v>
      </c>
      <c r="D10" s="62">
        <v>1.2500000000000001E-2</v>
      </c>
      <c r="E10" s="62">
        <v>1.4999999999999999E-2</v>
      </c>
      <c r="F10" s="62">
        <v>0.02</v>
      </c>
      <c r="G10" s="62"/>
      <c r="H10" s="104"/>
      <c r="I10" s="105"/>
      <c r="K10" s="138"/>
      <c r="L10" s="138"/>
      <c r="M10" s="138"/>
      <c r="N10" s="138"/>
    </row>
    <row r="11" spans="2:17" s="56" customFormat="1" ht="19.5" thickBot="1" x14ac:dyDescent="0.3">
      <c r="B11" s="12"/>
      <c r="C11" s="5"/>
      <c r="D11" s="58"/>
      <c r="E11" s="58"/>
      <c r="F11" s="58"/>
      <c r="G11" s="58"/>
      <c r="H11" s="104"/>
      <c r="I11" s="105"/>
      <c r="J11" s="97"/>
      <c r="K11" s="138"/>
      <c r="L11" s="138"/>
      <c r="M11" s="138"/>
      <c r="N11" s="138"/>
      <c r="O11" s="57"/>
    </row>
    <row r="12" spans="2:17" s="56" customFormat="1" ht="19.5" thickBot="1" x14ac:dyDescent="0.35">
      <c r="B12" s="12"/>
      <c r="C12" s="5"/>
      <c r="D12" s="136">
        <v>0.7</v>
      </c>
      <c r="E12" s="136">
        <v>0.71</v>
      </c>
      <c r="F12" s="136">
        <v>1.01</v>
      </c>
      <c r="G12" s="136">
        <v>1.1100000000000001</v>
      </c>
      <c r="H12" s="104"/>
      <c r="I12" s="105"/>
      <c r="J12" s="97"/>
      <c r="K12" s="137"/>
      <c r="L12" s="137"/>
      <c r="M12" s="137"/>
      <c r="N12" s="137"/>
      <c r="O12" s="57"/>
    </row>
    <row r="13" spans="2:17" s="56" customFormat="1" ht="19.5" thickBot="1" x14ac:dyDescent="0.3">
      <c r="B13" s="210" t="s">
        <v>6</v>
      </c>
      <c r="C13" s="61" t="s">
        <v>144</v>
      </c>
      <c r="D13" s="62">
        <v>1.2500000000000001E-2</v>
      </c>
      <c r="E13" s="62">
        <v>1.7500000000000002E-2</v>
      </c>
      <c r="F13" s="62">
        <v>2.2499999999999999E-2</v>
      </c>
      <c r="G13" s="62">
        <v>0.03</v>
      </c>
      <c r="H13" s="104"/>
      <c r="I13" s="105"/>
      <c r="J13" s="57"/>
      <c r="K13" s="57"/>
      <c r="L13" s="57"/>
      <c r="M13" s="57"/>
      <c r="N13" s="57"/>
      <c r="O13" s="57"/>
    </row>
    <row r="14" spans="2:17" s="56" customFormat="1" ht="19.5" thickBot="1" x14ac:dyDescent="0.3">
      <c r="B14" s="212"/>
      <c r="C14" s="61" t="s">
        <v>134</v>
      </c>
      <c r="D14" s="62">
        <v>0.02</v>
      </c>
      <c r="E14" s="62">
        <v>2.75E-2</v>
      </c>
      <c r="F14" s="62">
        <v>3.5000000000000003E-2</v>
      </c>
      <c r="G14" s="62"/>
      <c r="H14" s="104"/>
      <c r="I14" s="105"/>
      <c r="J14" s="35"/>
      <c r="K14" s="137"/>
      <c r="L14" s="137"/>
      <c r="M14" s="137"/>
      <c r="N14" s="137"/>
      <c r="O14" s="57"/>
    </row>
    <row r="15" spans="2:17" s="57" customFormat="1" ht="19.5" thickBot="1" x14ac:dyDescent="0.3">
      <c r="B15" s="12"/>
      <c r="C15" s="5"/>
      <c r="D15" s="58"/>
      <c r="E15" s="58"/>
      <c r="F15" s="58"/>
      <c r="G15" s="58"/>
      <c r="H15" s="104"/>
      <c r="I15" s="105"/>
      <c r="J15" s="35"/>
      <c r="P15" s="56"/>
      <c r="Q15" s="56"/>
    </row>
    <row r="16" spans="2:17" s="57" customFormat="1" ht="18" thickBot="1" x14ac:dyDescent="0.35">
      <c r="B16" s="12"/>
      <c r="C16" s="5"/>
      <c r="D16" s="63" t="s">
        <v>53</v>
      </c>
      <c r="E16" s="63" t="s">
        <v>4</v>
      </c>
      <c r="F16" s="63" t="s">
        <v>5</v>
      </c>
      <c r="G16" s="63"/>
      <c r="H16" s="35"/>
      <c r="I16" s="35"/>
      <c r="J16" s="97"/>
      <c r="K16" s="138"/>
      <c r="L16" s="138"/>
      <c r="M16" s="138"/>
      <c r="N16" s="138"/>
      <c r="P16" s="56"/>
      <c r="Q16" s="56"/>
    </row>
    <row r="17" spans="2:17" s="57" customFormat="1" ht="15.75" thickBot="1" x14ac:dyDescent="0.3">
      <c r="B17" s="171" t="s">
        <v>26</v>
      </c>
      <c r="C17" s="61" t="s">
        <v>6</v>
      </c>
      <c r="D17" s="62">
        <v>0.02</v>
      </c>
      <c r="E17" s="62">
        <v>0.02</v>
      </c>
      <c r="F17" s="62"/>
      <c r="G17" s="62"/>
      <c r="H17" s="35"/>
      <c r="I17" s="35"/>
      <c r="J17" s="97"/>
      <c r="K17" s="137"/>
      <c r="L17" s="137"/>
      <c r="M17" s="137"/>
      <c r="N17" s="137"/>
      <c r="P17" s="56"/>
      <c r="Q17" s="56"/>
    </row>
    <row r="18" spans="2:17" s="57" customFormat="1" ht="15.75" thickBot="1" x14ac:dyDescent="0.3">
      <c r="B18" s="171"/>
      <c r="C18" s="61" t="s">
        <v>0</v>
      </c>
      <c r="D18" s="62">
        <v>1.4999999999999999E-2</v>
      </c>
      <c r="E18" s="62">
        <v>1.4999999999999999E-2</v>
      </c>
      <c r="F18" s="62"/>
      <c r="G18" s="62"/>
      <c r="H18" s="35"/>
      <c r="I18" s="35"/>
      <c r="J18" s="35"/>
      <c r="P18" s="56"/>
      <c r="Q18" s="56"/>
    </row>
    <row r="19" spans="2:17" s="57" customFormat="1" ht="15.75" thickBot="1" x14ac:dyDescent="0.3">
      <c r="B19" s="12"/>
      <c r="C19" s="5"/>
      <c r="D19" s="58"/>
      <c r="E19" s="58"/>
      <c r="F19" s="58"/>
      <c r="G19" s="58"/>
      <c r="H19" s="35"/>
      <c r="I19" s="35"/>
      <c r="J19" s="35"/>
      <c r="P19" s="56"/>
      <c r="Q19" s="56"/>
    </row>
    <row r="20" spans="2:17" s="57" customFormat="1" ht="18" thickBot="1" x14ac:dyDescent="0.35">
      <c r="B20" s="12"/>
      <c r="C20" s="5"/>
      <c r="D20" s="136">
        <v>0.7</v>
      </c>
      <c r="E20" s="136">
        <v>0.71</v>
      </c>
      <c r="F20" s="136">
        <v>1.01</v>
      </c>
      <c r="G20" s="136">
        <v>1.1100000000000001</v>
      </c>
      <c r="H20" s="35"/>
      <c r="I20" s="35"/>
      <c r="J20" s="35"/>
      <c r="P20" s="56"/>
      <c r="Q20" s="56"/>
    </row>
    <row r="21" spans="2:17" s="57" customFormat="1" ht="15.75" thickBot="1" x14ac:dyDescent="0.3">
      <c r="B21" s="210" t="s">
        <v>7</v>
      </c>
      <c r="C21" s="61" t="s">
        <v>144</v>
      </c>
      <c r="D21" s="62">
        <v>2.5000000000000001E-3</v>
      </c>
      <c r="E21" s="62">
        <v>5.0000000000000001E-3</v>
      </c>
      <c r="F21" s="62">
        <v>7.4999999999999997E-3</v>
      </c>
      <c r="G21" s="62">
        <v>0.01</v>
      </c>
      <c r="H21" s="35"/>
      <c r="I21" s="35"/>
      <c r="J21" s="35"/>
      <c r="P21" s="56"/>
      <c r="Q21" s="56"/>
    </row>
    <row r="22" spans="2:17" s="57" customFormat="1" ht="15.75" thickBot="1" x14ac:dyDescent="0.3">
      <c r="B22" s="212"/>
      <c r="C22" s="61" t="s">
        <v>134</v>
      </c>
      <c r="D22" s="62">
        <v>7.4999999999999997E-3</v>
      </c>
      <c r="E22" s="62">
        <v>0.01</v>
      </c>
      <c r="F22" s="62">
        <v>1.2500000000000001E-2</v>
      </c>
      <c r="G22" s="62"/>
      <c r="H22" s="35"/>
      <c r="I22" s="35"/>
      <c r="J22" s="35"/>
      <c r="P22" s="56"/>
      <c r="Q22" s="56"/>
    </row>
    <row r="23" spans="2:17" s="57" customFormat="1" ht="15.75" thickBot="1" x14ac:dyDescent="0.3">
      <c r="B23" s="82"/>
      <c r="C23" s="5"/>
      <c r="D23" s="83"/>
      <c r="E23" s="83"/>
      <c r="F23" s="83"/>
      <c r="G23" s="83"/>
      <c r="H23" s="35"/>
      <c r="I23" s="35"/>
      <c r="J23" s="35"/>
      <c r="P23" s="56"/>
      <c r="Q23" s="56"/>
    </row>
    <row r="24" spans="2:17" s="57" customFormat="1" ht="18" thickBot="1" x14ac:dyDescent="0.35">
      <c r="B24" s="12"/>
      <c r="C24" s="5"/>
      <c r="D24" s="136">
        <v>0.7</v>
      </c>
      <c r="E24" s="136">
        <v>0.71</v>
      </c>
      <c r="F24" s="136">
        <v>1.01</v>
      </c>
      <c r="G24" s="136">
        <v>1.1100000000000001</v>
      </c>
      <c r="H24" s="35"/>
      <c r="I24" s="35"/>
      <c r="J24" s="35"/>
      <c r="P24" s="56"/>
      <c r="Q24" s="56"/>
    </row>
    <row r="25" spans="2:17" s="57" customFormat="1" ht="15.75" thickBot="1" x14ac:dyDescent="0.3">
      <c r="B25" s="210" t="s">
        <v>64</v>
      </c>
      <c r="C25" s="61" t="s">
        <v>144</v>
      </c>
      <c r="D25" s="96">
        <v>1.25E-3</v>
      </c>
      <c r="E25" s="62">
        <v>2.5000000000000001E-3</v>
      </c>
      <c r="F25" s="62">
        <v>5.0000000000000001E-3</v>
      </c>
      <c r="G25" s="62">
        <v>7.4999999999999997E-3</v>
      </c>
      <c r="H25" s="35"/>
      <c r="I25" s="35"/>
      <c r="J25" s="35"/>
      <c r="P25" s="56"/>
      <c r="Q25" s="56"/>
    </row>
    <row r="26" spans="2:17" s="57" customFormat="1" ht="15.75" thickBot="1" x14ac:dyDescent="0.3">
      <c r="B26" s="212"/>
      <c r="C26" s="61" t="s">
        <v>134</v>
      </c>
      <c r="D26" s="62">
        <v>2.5000000000000001E-3</v>
      </c>
      <c r="E26" s="62">
        <v>5.0000000000000001E-3</v>
      </c>
      <c r="F26" s="62">
        <v>7.4999999999999997E-3</v>
      </c>
      <c r="G26" s="62"/>
      <c r="H26" s="35"/>
      <c r="I26" s="35"/>
      <c r="J26" s="35"/>
      <c r="P26" s="56"/>
      <c r="Q26" s="56"/>
    </row>
    <row r="27" spans="2:17" s="57" customFormat="1" x14ac:dyDescent="0.25">
      <c r="B27" s="35"/>
      <c r="C27" s="35"/>
      <c r="F27" s="57" t="s">
        <v>36</v>
      </c>
      <c r="H27" s="35"/>
      <c r="I27" s="35"/>
      <c r="J27" s="35"/>
      <c r="P27" s="56"/>
      <c r="Q27" s="56"/>
    </row>
    <row r="28" spans="2:17" s="57" customFormat="1" x14ac:dyDescent="0.25">
      <c r="B28" s="35"/>
      <c r="C28" s="35"/>
      <c r="H28" s="35"/>
      <c r="I28" s="35"/>
      <c r="J28" s="35"/>
      <c r="P28" s="56"/>
      <c r="Q28" s="56"/>
    </row>
    <row r="29" spans="2:17" x14ac:dyDescent="0.25">
      <c r="H29" s="35"/>
      <c r="I29" s="35"/>
    </row>
    <row r="30" spans="2:17" x14ac:dyDescent="0.25">
      <c r="B30" s="164" t="s">
        <v>37</v>
      </c>
      <c r="C30" s="164"/>
      <c r="H30" s="35"/>
      <c r="I30" s="35"/>
    </row>
    <row r="31" spans="2:17" x14ac:dyDescent="0.25">
      <c r="H31" s="35"/>
      <c r="I31" s="35"/>
    </row>
    <row r="32" spans="2:17" x14ac:dyDescent="0.25">
      <c r="H32" s="35"/>
      <c r="I32" s="35"/>
    </row>
    <row r="33" spans="2:9" x14ac:dyDescent="0.25">
      <c r="B33" s="35" t="s">
        <v>31</v>
      </c>
      <c r="D33" s="57" t="s">
        <v>24</v>
      </c>
      <c r="F33" s="57" t="s">
        <v>23</v>
      </c>
      <c r="H33" s="35"/>
      <c r="I33" s="35"/>
    </row>
    <row r="34" spans="2:9" x14ac:dyDescent="0.25">
      <c r="H34" s="35"/>
      <c r="I34" s="35"/>
    </row>
  </sheetData>
  <mergeCells count="6">
    <mergeCell ref="B30:C30"/>
    <mergeCell ref="B9:B10"/>
    <mergeCell ref="B13:B14"/>
    <mergeCell ref="B17:B18"/>
    <mergeCell ref="B21:B22"/>
    <mergeCell ref="B25:B26"/>
  </mergeCells>
  <pageMargins left="0.6" right="0.7" top="0.79" bottom="0.75" header="0.3" footer="0.3"/>
  <pageSetup paperSize="9" scale="7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386B-A4BF-4C7F-9B7F-66BFE04E5504}">
  <dimension ref="B1:Q34"/>
  <sheetViews>
    <sheetView showGridLines="0" view="pageBreakPreview" zoomScaleNormal="100" zoomScaleSheetLayoutView="100" workbookViewId="0">
      <selection activeCell="N12" sqref="N12"/>
    </sheetView>
  </sheetViews>
  <sheetFormatPr defaultColWidth="9.140625" defaultRowHeight="15" x14ac:dyDescent="0.25"/>
  <cols>
    <col min="1" max="1" width="3.85546875" style="35" customWidth="1"/>
    <col min="2" max="2" width="20.5703125" style="35" bestFit="1" customWidth="1"/>
    <col min="3" max="3" width="20.85546875" style="35" customWidth="1"/>
    <col min="4" max="4" width="19.28515625" style="57" customWidth="1"/>
    <col min="5" max="5" width="17.28515625" style="57" customWidth="1"/>
    <col min="6" max="7" width="16.140625" style="57" customWidth="1"/>
    <col min="8" max="8" width="22.7109375" style="5" bestFit="1" customWidth="1"/>
    <col min="9" max="9" width="7.5703125" style="5" bestFit="1" customWidth="1"/>
    <col min="10" max="10" width="14.7109375" style="35" bestFit="1" customWidth="1"/>
    <col min="11" max="12" width="9.140625" style="57" bestFit="1" customWidth="1"/>
    <col min="13" max="13" width="8.140625" style="57" customWidth="1"/>
    <col min="14" max="14" width="11.5703125" style="57" bestFit="1" customWidth="1"/>
    <col min="15" max="15" width="9.5703125" style="57" bestFit="1" customWidth="1"/>
    <col min="16" max="17" width="9.140625" style="56"/>
    <col min="18" max="16384" width="9.140625" style="35"/>
  </cols>
  <sheetData>
    <row r="1" spans="2:17" ht="25.15" customHeight="1" x14ac:dyDescent="0.25">
      <c r="B1" s="39"/>
    </row>
    <row r="2" spans="2:17" ht="25.15" customHeight="1" x14ac:dyDescent="0.25"/>
    <row r="3" spans="2:17" ht="25.15" customHeight="1" x14ac:dyDescent="0.25">
      <c r="K3" s="137"/>
      <c r="L3" s="137"/>
      <c r="M3" s="137"/>
      <c r="N3" s="137"/>
    </row>
    <row r="4" spans="2:17" ht="34.9" customHeight="1" x14ac:dyDescent="0.25">
      <c r="B4" s="25" t="s">
        <v>139</v>
      </c>
      <c r="H4" s="64"/>
      <c r="K4" s="138"/>
      <c r="L4" s="138"/>
      <c r="M4" s="138"/>
      <c r="N4" s="138"/>
      <c r="O4" s="138"/>
    </row>
    <row r="5" spans="2:17" x14ac:dyDescent="0.25">
      <c r="B5" s="12"/>
      <c r="F5" s="57" t="s">
        <v>74</v>
      </c>
    </row>
    <row r="6" spans="2:17" x14ac:dyDescent="0.25">
      <c r="B6" s="12" t="s">
        <v>145</v>
      </c>
      <c r="F6" s="57" t="s">
        <v>138</v>
      </c>
      <c r="K6" s="138"/>
      <c r="L6" s="138"/>
      <c r="M6" s="138"/>
      <c r="N6" s="138"/>
    </row>
    <row r="7" spans="2:17" ht="15.75" thickBot="1" x14ac:dyDescent="0.3">
      <c r="B7" s="12"/>
      <c r="H7" s="35"/>
      <c r="I7" s="35"/>
      <c r="K7" s="137"/>
      <c r="L7" s="137"/>
      <c r="M7" s="137"/>
      <c r="N7" s="137"/>
    </row>
    <row r="8" spans="2:17" ht="18" thickBot="1" x14ac:dyDescent="0.35">
      <c r="B8" s="12"/>
      <c r="C8" s="5"/>
      <c r="D8" s="136">
        <v>0.7</v>
      </c>
      <c r="E8" s="136">
        <v>0.71</v>
      </c>
      <c r="F8" s="136">
        <v>1.01</v>
      </c>
      <c r="G8" s="136">
        <v>1.1100000000000001</v>
      </c>
      <c r="H8" s="35"/>
      <c r="I8" s="35"/>
      <c r="J8" s="99"/>
    </row>
    <row r="9" spans="2:17" ht="19.5" thickBot="1" x14ac:dyDescent="0.3">
      <c r="B9" s="210" t="s">
        <v>0</v>
      </c>
      <c r="C9" s="61" t="s">
        <v>144</v>
      </c>
      <c r="D9" s="62">
        <v>5.0000000000000001E-3</v>
      </c>
      <c r="E9" s="62">
        <v>7.4999999999999997E-3</v>
      </c>
      <c r="F9" s="62">
        <v>1.2500000000000001E-2</v>
      </c>
      <c r="G9" s="62"/>
      <c r="H9" s="102"/>
      <c r="I9" s="103"/>
      <c r="K9" s="137"/>
      <c r="L9" s="137"/>
      <c r="M9" s="137"/>
      <c r="N9" s="137"/>
    </row>
    <row r="10" spans="2:17" ht="19.5" thickBot="1" x14ac:dyDescent="0.3">
      <c r="B10" s="212"/>
      <c r="C10" s="61" t="s">
        <v>134</v>
      </c>
      <c r="D10" s="62">
        <v>7.4999999999999997E-3</v>
      </c>
      <c r="E10" s="62">
        <v>1.2500000000000001E-2</v>
      </c>
      <c r="F10" s="62">
        <v>0.02</v>
      </c>
      <c r="G10" s="62"/>
      <c r="H10" s="104"/>
      <c r="I10" s="105"/>
      <c r="K10" s="138"/>
      <c r="L10" s="138"/>
      <c r="M10" s="138"/>
      <c r="N10" s="138"/>
    </row>
    <row r="11" spans="2:17" s="56" customFormat="1" ht="19.5" thickBot="1" x14ac:dyDescent="0.3">
      <c r="B11" s="12"/>
      <c r="C11" s="5"/>
      <c r="D11" s="58"/>
      <c r="E11" s="58"/>
      <c r="F11" s="58"/>
      <c r="G11" s="58"/>
      <c r="H11" s="104"/>
      <c r="I11" s="105"/>
      <c r="J11" s="97"/>
      <c r="K11" s="138"/>
      <c r="L11" s="138"/>
      <c r="M11" s="138"/>
      <c r="N11" s="138"/>
      <c r="O11" s="57"/>
    </row>
    <row r="12" spans="2:17" s="56" customFormat="1" ht="19.5" thickBot="1" x14ac:dyDescent="0.35">
      <c r="B12" s="12"/>
      <c r="C12" s="5"/>
      <c r="D12" s="136">
        <v>0.7</v>
      </c>
      <c r="E12" s="136">
        <v>0.71</v>
      </c>
      <c r="F12" s="136">
        <v>1.01</v>
      </c>
      <c r="G12" s="136">
        <v>1.1100000000000001</v>
      </c>
      <c r="H12" s="104"/>
      <c r="I12" s="105"/>
      <c r="J12" s="97"/>
      <c r="K12" s="137"/>
      <c r="L12" s="137"/>
      <c r="M12" s="137"/>
      <c r="N12" s="137"/>
      <c r="O12" s="57"/>
    </row>
    <row r="13" spans="2:17" s="56" customFormat="1" ht="19.5" thickBot="1" x14ac:dyDescent="0.3">
      <c r="B13" s="210" t="s">
        <v>6</v>
      </c>
      <c r="C13" s="61" t="s">
        <v>144</v>
      </c>
      <c r="D13" s="62">
        <v>7.4999999999999997E-3</v>
      </c>
      <c r="E13" s="62">
        <v>1.4999999999999999E-2</v>
      </c>
      <c r="F13" s="62">
        <v>1.7500000000000002E-2</v>
      </c>
      <c r="G13" s="62"/>
      <c r="H13" s="104"/>
      <c r="I13" s="105"/>
      <c r="J13" s="57"/>
      <c r="K13" s="57"/>
      <c r="L13" s="57"/>
      <c r="M13" s="57"/>
      <c r="N13" s="57"/>
      <c r="O13" s="57"/>
    </row>
    <row r="14" spans="2:17" s="56" customFormat="1" ht="19.5" thickBot="1" x14ac:dyDescent="0.3">
      <c r="B14" s="212"/>
      <c r="C14" s="61" t="s">
        <v>134</v>
      </c>
      <c r="D14" s="62">
        <v>1.4999999999999999E-2</v>
      </c>
      <c r="E14" s="62">
        <v>2.2499999999999999E-2</v>
      </c>
      <c r="F14" s="62">
        <v>2.75E-2</v>
      </c>
      <c r="G14" s="62"/>
      <c r="H14" s="104"/>
      <c r="I14" s="105"/>
      <c r="J14" s="35"/>
      <c r="K14" s="137"/>
      <c r="L14" s="137"/>
      <c r="M14" s="137"/>
      <c r="N14" s="137"/>
      <c r="O14" s="57"/>
    </row>
    <row r="15" spans="2:17" s="57" customFormat="1" ht="19.5" thickBot="1" x14ac:dyDescent="0.3">
      <c r="B15" s="12"/>
      <c r="C15" s="5"/>
      <c r="D15" s="58"/>
      <c r="E15" s="58"/>
      <c r="F15" s="58"/>
      <c r="G15" s="58"/>
      <c r="H15" s="104"/>
      <c r="I15" s="105"/>
      <c r="J15" s="35"/>
      <c r="P15" s="56"/>
      <c r="Q15" s="56"/>
    </row>
    <row r="16" spans="2:17" s="57" customFormat="1" ht="18" thickBot="1" x14ac:dyDescent="0.35">
      <c r="B16" s="12"/>
      <c r="C16" s="5"/>
      <c r="D16" s="63" t="s">
        <v>53</v>
      </c>
      <c r="E16" s="63" t="s">
        <v>4</v>
      </c>
      <c r="F16" s="63" t="s">
        <v>5</v>
      </c>
      <c r="G16" s="63"/>
      <c r="H16" s="35"/>
      <c r="I16" s="35"/>
      <c r="J16" s="97"/>
      <c r="K16" s="138"/>
      <c r="L16" s="138"/>
      <c r="M16" s="138"/>
      <c r="N16" s="138"/>
      <c r="P16" s="56"/>
      <c r="Q16" s="56"/>
    </row>
    <row r="17" spans="2:17" s="57" customFormat="1" ht="15.75" thickBot="1" x14ac:dyDescent="0.3">
      <c r="B17" s="171" t="s">
        <v>26</v>
      </c>
      <c r="C17" s="61" t="s">
        <v>6</v>
      </c>
      <c r="D17" s="62">
        <v>0.02</v>
      </c>
      <c r="E17" s="62">
        <v>0.02</v>
      </c>
      <c r="F17" s="62"/>
      <c r="G17" s="62"/>
      <c r="H17" s="35"/>
      <c r="I17" s="35"/>
      <c r="J17" s="97"/>
      <c r="K17" s="137"/>
      <c r="L17" s="137"/>
      <c r="M17" s="137"/>
      <c r="N17" s="137"/>
      <c r="P17" s="56"/>
      <c r="Q17" s="56"/>
    </row>
    <row r="18" spans="2:17" s="57" customFormat="1" ht="15.75" thickBot="1" x14ac:dyDescent="0.3">
      <c r="B18" s="171"/>
      <c r="C18" s="61" t="s">
        <v>0</v>
      </c>
      <c r="D18" s="62">
        <v>1.4999999999999999E-2</v>
      </c>
      <c r="E18" s="62">
        <v>1.4999999999999999E-2</v>
      </c>
      <c r="F18" s="62"/>
      <c r="G18" s="62"/>
      <c r="H18" s="35"/>
      <c r="I18" s="35"/>
      <c r="J18" s="35"/>
      <c r="P18" s="56"/>
      <c r="Q18" s="56"/>
    </row>
    <row r="19" spans="2:17" s="57" customFormat="1" ht="15.75" thickBot="1" x14ac:dyDescent="0.3">
      <c r="B19" s="12"/>
      <c r="C19" s="5"/>
      <c r="D19" s="58"/>
      <c r="E19" s="58"/>
      <c r="F19" s="58"/>
      <c r="G19" s="58"/>
      <c r="H19" s="35"/>
      <c r="I19" s="35"/>
      <c r="J19" s="35"/>
      <c r="P19" s="56"/>
      <c r="Q19" s="56"/>
    </row>
    <row r="20" spans="2:17" s="57" customFormat="1" ht="18" thickBot="1" x14ac:dyDescent="0.35">
      <c r="B20" s="12"/>
      <c r="C20" s="5"/>
      <c r="D20" s="136">
        <v>0.7</v>
      </c>
      <c r="E20" s="136">
        <v>0.71</v>
      </c>
      <c r="F20" s="136">
        <v>1.01</v>
      </c>
      <c r="G20" s="136">
        <v>1.1100000000000001</v>
      </c>
      <c r="H20" s="35"/>
      <c r="I20" s="35"/>
      <c r="J20" s="35"/>
      <c r="P20" s="56"/>
      <c r="Q20" s="56"/>
    </row>
    <row r="21" spans="2:17" s="57" customFormat="1" ht="15.75" thickBot="1" x14ac:dyDescent="0.3">
      <c r="B21" s="210" t="s">
        <v>7</v>
      </c>
      <c r="C21" s="61" t="s">
        <v>144</v>
      </c>
      <c r="D21" s="62">
        <v>2.5000000000000001E-3</v>
      </c>
      <c r="E21" s="62">
        <v>2.5000000000000001E-3</v>
      </c>
      <c r="F21" s="62">
        <v>5.0000000000000001E-3</v>
      </c>
      <c r="G21" s="62"/>
      <c r="H21" s="35"/>
      <c r="I21" s="35"/>
      <c r="J21" s="35"/>
      <c r="P21" s="56"/>
      <c r="Q21" s="56"/>
    </row>
    <row r="22" spans="2:17" s="57" customFormat="1" ht="15.75" thickBot="1" x14ac:dyDescent="0.3">
      <c r="B22" s="212"/>
      <c r="C22" s="61" t="s">
        <v>134</v>
      </c>
      <c r="D22" s="62">
        <v>5.0000000000000001E-3</v>
      </c>
      <c r="E22" s="62">
        <v>7.4999999999999997E-3</v>
      </c>
      <c r="F22" s="62">
        <v>0.01</v>
      </c>
      <c r="G22" s="62"/>
      <c r="H22" s="35"/>
      <c r="I22" s="35"/>
      <c r="J22" s="35"/>
      <c r="P22" s="56"/>
      <c r="Q22" s="56"/>
    </row>
    <row r="23" spans="2:17" s="57" customFormat="1" ht="15.75" thickBot="1" x14ac:dyDescent="0.3">
      <c r="B23" s="82"/>
      <c r="C23" s="5"/>
      <c r="D23" s="83"/>
      <c r="E23" s="83"/>
      <c r="F23" s="83"/>
      <c r="G23" s="83"/>
      <c r="H23" s="35"/>
      <c r="I23" s="35"/>
      <c r="J23" s="35"/>
      <c r="P23" s="56"/>
      <c r="Q23" s="56"/>
    </row>
    <row r="24" spans="2:17" s="57" customFormat="1" ht="18" thickBot="1" x14ac:dyDescent="0.35">
      <c r="B24" s="12"/>
      <c r="C24" s="5"/>
      <c r="D24" s="136">
        <v>0.7</v>
      </c>
      <c r="E24" s="136">
        <v>0.71</v>
      </c>
      <c r="F24" s="136">
        <v>1.01</v>
      </c>
      <c r="G24" s="136">
        <v>1.1100000000000001</v>
      </c>
      <c r="H24" s="35"/>
      <c r="I24" s="35"/>
      <c r="J24" s="35"/>
      <c r="P24" s="56"/>
      <c r="Q24" s="56"/>
    </row>
    <row r="25" spans="2:17" s="57" customFormat="1" ht="15.75" thickBot="1" x14ac:dyDescent="0.3">
      <c r="B25" s="210" t="s">
        <v>64</v>
      </c>
      <c r="C25" s="61" t="s">
        <v>144</v>
      </c>
      <c r="D25" s="96">
        <v>1.25E-3</v>
      </c>
      <c r="E25" s="96">
        <v>1.25E-3</v>
      </c>
      <c r="F25" s="62">
        <v>2.5000000000000001E-3</v>
      </c>
      <c r="G25" s="62"/>
      <c r="H25" s="35"/>
      <c r="I25" s="35"/>
      <c r="J25" s="35"/>
      <c r="P25" s="56"/>
      <c r="Q25" s="56"/>
    </row>
    <row r="26" spans="2:17" s="57" customFormat="1" ht="15.75" thickBot="1" x14ac:dyDescent="0.3">
      <c r="B26" s="212"/>
      <c r="C26" s="61" t="s">
        <v>134</v>
      </c>
      <c r="D26" s="62">
        <v>2.5000000000000001E-3</v>
      </c>
      <c r="E26" s="62">
        <v>2.5000000000000001E-3</v>
      </c>
      <c r="F26" s="62">
        <v>5.0000000000000001E-3</v>
      </c>
      <c r="G26" s="62"/>
      <c r="H26" s="35"/>
      <c r="I26" s="35"/>
      <c r="J26" s="35"/>
      <c r="P26" s="56"/>
      <c r="Q26" s="56"/>
    </row>
    <row r="27" spans="2:17" s="57" customFormat="1" x14ac:dyDescent="0.25">
      <c r="B27" s="35"/>
      <c r="C27" s="35"/>
      <c r="F27" s="57" t="s">
        <v>36</v>
      </c>
      <c r="H27" s="35"/>
      <c r="I27" s="35"/>
      <c r="J27" s="35"/>
      <c r="P27" s="56"/>
      <c r="Q27" s="56"/>
    </row>
    <row r="28" spans="2:17" s="57" customFormat="1" x14ac:dyDescent="0.25">
      <c r="B28" s="35"/>
      <c r="C28" s="35"/>
      <c r="H28" s="35"/>
      <c r="I28" s="35"/>
      <c r="J28" s="35"/>
      <c r="P28" s="56"/>
      <c r="Q28" s="56"/>
    </row>
    <row r="29" spans="2:17" x14ac:dyDescent="0.25">
      <c r="H29" s="35"/>
      <c r="I29" s="35"/>
    </row>
    <row r="30" spans="2:17" x14ac:dyDescent="0.25">
      <c r="B30" s="164" t="s">
        <v>37</v>
      </c>
      <c r="C30" s="164"/>
      <c r="H30" s="35"/>
      <c r="I30" s="35"/>
    </row>
    <row r="31" spans="2:17" x14ac:dyDescent="0.25">
      <c r="H31" s="35"/>
      <c r="I31" s="35"/>
    </row>
    <row r="32" spans="2:17" x14ac:dyDescent="0.25">
      <c r="H32" s="35"/>
      <c r="I32" s="35"/>
    </row>
    <row r="33" spans="2:9" x14ac:dyDescent="0.25">
      <c r="B33" s="35" t="s">
        <v>31</v>
      </c>
      <c r="D33" s="57" t="s">
        <v>24</v>
      </c>
      <c r="F33" s="57" t="s">
        <v>23</v>
      </c>
      <c r="H33" s="35"/>
      <c r="I33" s="35"/>
    </row>
    <row r="34" spans="2:9" x14ac:dyDescent="0.25">
      <c r="H34" s="35"/>
      <c r="I34" s="35"/>
    </row>
  </sheetData>
  <mergeCells count="6">
    <mergeCell ref="B30:C30"/>
    <mergeCell ref="B9:B10"/>
    <mergeCell ref="B13:B14"/>
    <mergeCell ref="B17:B18"/>
    <mergeCell ref="B21:B22"/>
    <mergeCell ref="B25:B26"/>
  </mergeCells>
  <pageMargins left="0.6" right="0.7" top="0.79" bottom="0.75" header="0.3" footer="0.3"/>
  <pageSetup paperSize="9" scale="7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06B1-6B94-47B1-979E-7F300383A656}">
  <dimension ref="A3:J54"/>
  <sheetViews>
    <sheetView tabSelected="1" view="pageBreakPreview" zoomScale="102" zoomScaleNormal="100" workbookViewId="0">
      <selection activeCell="F15" sqref="F15"/>
    </sheetView>
  </sheetViews>
  <sheetFormatPr defaultRowHeight="15" x14ac:dyDescent="0.25"/>
  <cols>
    <col min="1" max="1" width="31" customWidth="1"/>
    <col min="2" max="2" width="12.42578125" customWidth="1"/>
    <col min="3" max="3" width="17.28515625" customWidth="1"/>
    <col min="4" max="4" width="22" customWidth="1"/>
    <col min="5" max="5" width="6.85546875" customWidth="1"/>
  </cols>
  <sheetData>
    <row r="3" spans="1:6" x14ac:dyDescent="0.25">
      <c r="F3" s="35" t="s">
        <v>74</v>
      </c>
    </row>
    <row r="4" spans="1:6" x14ac:dyDescent="0.25">
      <c r="A4" s="20" t="s">
        <v>204</v>
      </c>
      <c r="F4" s="35" t="s">
        <v>203</v>
      </c>
    </row>
    <row r="5" spans="1:6" x14ac:dyDescent="0.25">
      <c r="B5" s="5"/>
      <c r="C5" s="10"/>
      <c r="D5" s="10"/>
    </row>
    <row r="6" spans="1:6" s="39" customFormat="1" x14ac:dyDescent="0.25">
      <c r="A6" s="180" t="s">
        <v>54</v>
      </c>
    </row>
    <row r="7" spans="1:6" s="39" customFormat="1" x14ac:dyDescent="0.25">
      <c r="A7" s="180"/>
    </row>
    <row r="8" spans="1:6" s="39" customFormat="1" x14ac:dyDescent="0.25">
      <c r="A8" s="12"/>
      <c r="B8" s="12"/>
      <c r="C8" s="72" t="s">
        <v>3</v>
      </c>
      <c r="D8" s="72" t="s">
        <v>4</v>
      </c>
    </row>
    <row r="9" spans="1:6" s="39" customFormat="1" x14ac:dyDescent="0.25">
      <c r="A9" s="179" t="s">
        <v>0</v>
      </c>
      <c r="B9" s="49" t="s">
        <v>63</v>
      </c>
      <c r="C9" s="21">
        <v>0.01</v>
      </c>
      <c r="D9" s="21">
        <v>1.7500000000000002E-2</v>
      </c>
    </row>
    <row r="10" spans="1:6" s="39" customFormat="1" x14ac:dyDescent="0.25">
      <c r="A10" s="179"/>
      <c r="B10" s="65" t="s">
        <v>106</v>
      </c>
      <c r="C10" s="21">
        <v>7.4999999999999997E-3</v>
      </c>
      <c r="D10" s="21">
        <v>1.2500000000000001E-2</v>
      </c>
    </row>
    <row r="11" spans="1:6" s="39" customFormat="1" x14ac:dyDescent="0.25">
      <c r="A11" s="12"/>
      <c r="B11" s="66"/>
      <c r="C11" s="12"/>
      <c r="D11" s="12"/>
    </row>
    <row r="12" spans="1:6" s="39" customFormat="1" hidden="1" x14ac:dyDescent="0.25">
      <c r="A12" s="12"/>
      <c r="B12" s="12"/>
      <c r="C12" s="12"/>
      <c r="D12" s="12"/>
      <c r="F12" s="69"/>
    </row>
    <row r="13" spans="1:6" s="39" customFormat="1" x14ac:dyDescent="0.25">
      <c r="A13" s="12"/>
      <c r="B13" s="12"/>
      <c r="C13" s="72" t="s">
        <v>3</v>
      </c>
      <c r="D13" s="72" t="s">
        <v>4</v>
      </c>
    </row>
    <row r="14" spans="1:6" s="39" customFormat="1" x14ac:dyDescent="0.25">
      <c r="A14" s="179" t="s">
        <v>6</v>
      </c>
      <c r="B14" s="49" t="s">
        <v>63</v>
      </c>
      <c r="C14" s="21">
        <v>1.4999999999999999E-2</v>
      </c>
      <c r="D14" s="21">
        <v>2.75E-2</v>
      </c>
    </row>
    <row r="15" spans="1:6" s="39" customFormat="1" x14ac:dyDescent="0.25">
      <c r="A15" s="179"/>
      <c r="B15" s="65" t="s">
        <v>106</v>
      </c>
      <c r="C15" s="21">
        <v>1.2500000000000001E-2</v>
      </c>
      <c r="D15" s="21">
        <v>0.02</v>
      </c>
    </row>
    <row r="16" spans="1:6" s="39" customFormat="1" x14ac:dyDescent="0.25">
      <c r="A16" s="12"/>
      <c r="B16" s="12"/>
      <c r="C16" s="12"/>
      <c r="D16" s="12"/>
    </row>
    <row r="17" spans="1:7" s="39" customFormat="1" x14ac:dyDescent="0.25">
      <c r="A17" s="12"/>
      <c r="B17" s="12"/>
      <c r="C17" s="72" t="s">
        <v>3</v>
      </c>
      <c r="D17" s="72" t="s">
        <v>4</v>
      </c>
    </row>
    <row r="18" spans="1:7" s="39" customFormat="1" x14ac:dyDescent="0.25">
      <c r="A18" s="179" t="s">
        <v>26</v>
      </c>
      <c r="B18" s="49" t="s">
        <v>6</v>
      </c>
      <c r="C18" s="21">
        <v>0.02</v>
      </c>
      <c r="D18" s="21">
        <v>0.02</v>
      </c>
    </row>
    <row r="19" spans="1:7" s="39" customFormat="1" x14ac:dyDescent="0.25">
      <c r="A19" s="179"/>
      <c r="B19" s="49" t="s">
        <v>0</v>
      </c>
      <c r="C19" s="21">
        <v>1.4999999999999999E-2</v>
      </c>
      <c r="D19" s="21">
        <v>1.4999999999999999E-2</v>
      </c>
    </row>
    <row r="20" spans="1:7" s="39" customFormat="1" x14ac:dyDescent="0.25">
      <c r="A20" s="12"/>
      <c r="B20" s="12"/>
      <c r="C20" s="12"/>
      <c r="D20" s="12"/>
    </row>
    <row r="21" spans="1:7" s="39" customFormat="1" ht="0.75" customHeight="1" x14ac:dyDescent="0.25">
      <c r="A21" s="12"/>
      <c r="B21" s="12"/>
      <c r="C21" s="12"/>
      <c r="D21" s="12"/>
    </row>
    <row r="22" spans="1:7" s="39" customFormat="1" x14ac:dyDescent="0.25">
      <c r="A22" s="12"/>
      <c r="B22" s="12"/>
      <c r="C22" s="72" t="s">
        <v>3</v>
      </c>
      <c r="D22" s="72" t="s">
        <v>4</v>
      </c>
    </row>
    <row r="23" spans="1:7" s="39" customFormat="1" x14ac:dyDescent="0.25">
      <c r="A23" s="179" t="s">
        <v>7</v>
      </c>
      <c r="B23" s="49" t="s">
        <v>63</v>
      </c>
      <c r="C23" s="21">
        <v>5.0000000000000001E-3</v>
      </c>
      <c r="D23" s="21">
        <v>7.4999999999999997E-3</v>
      </c>
    </row>
    <row r="24" spans="1:7" s="39" customFormat="1" x14ac:dyDescent="0.25">
      <c r="A24" s="179"/>
      <c r="B24" s="65" t="s">
        <v>106</v>
      </c>
      <c r="C24" s="21">
        <v>2.5000000000000001E-3</v>
      </c>
      <c r="D24" s="21">
        <v>5.0000000000000001E-3</v>
      </c>
    </row>
    <row r="25" spans="1:7" s="39" customFormat="1" x14ac:dyDescent="0.25"/>
    <row r="26" spans="1:7" s="39" customFormat="1" x14ac:dyDescent="0.25">
      <c r="B26" s="12"/>
      <c r="C26" s="72" t="s">
        <v>3</v>
      </c>
      <c r="D26" s="72" t="s">
        <v>4</v>
      </c>
    </row>
    <row r="27" spans="1:7" s="39" customFormat="1" x14ac:dyDescent="0.25">
      <c r="A27" s="179" t="s">
        <v>15</v>
      </c>
      <c r="B27" s="49" t="s">
        <v>63</v>
      </c>
      <c r="C27" s="21">
        <v>2.5000000000000001E-3</v>
      </c>
      <c r="D27" s="21">
        <v>5.0000000000000001E-3</v>
      </c>
    </row>
    <row r="28" spans="1:7" s="39" customFormat="1" x14ac:dyDescent="0.25">
      <c r="A28" s="179"/>
      <c r="B28" s="65" t="s">
        <v>106</v>
      </c>
      <c r="C28" s="68">
        <v>1.25E-3</v>
      </c>
      <c r="D28" s="21">
        <v>2.5000000000000001E-3</v>
      </c>
      <c r="E28" s="70"/>
      <c r="G28" s="71"/>
    </row>
    <row r="29" spans="1:7" s="39" customFormat="1" x14ac:dyDescent="0.25"/>
    <row r="30" spans="1:7" s="39" customFormat="1" x14ac:dyDescent="0.25">
      <c r="A30" s="180" t="s">
        <v>2</v>
      </c>
    </row>
    <row r="31" spans="1:7" s="39" customFormat="1" x14ac:dyDescent="0.25">
      <c r="A31" s="180"/>
    </row>
    <row r="32" spans="1:7" s="39" customFormat="1" x14ac:dyDescent="0.25">
      <c r="A32" s="5"/>
      <c r="B32" s="5"/>
      <c r="C32" s="72" t="s">
        <v>3</v>
      </c>
      <c r="D32" s="72" t="s">
        <v>4</v>
      </c>
      <c r="E32" s="72" t="s">
        <v>5</v>
      </c>
    </row>
    <row r="33" spans="1:10" s="39" customFormat="1" x14ac:dyDescent="0.25">
      <c r="A33" s="112" t="s">
        <v>0</v>
      </c>
      <c r="B33" s="2" t="s">
        <v>2</v>
      </c>
      <c r="C33" s="21">
        <v>1.7500000000000002E-2</v>
      </c>
      <c r="D33" s="3">
        <v>0.03</v>
      </c>
      <c r="E33" s="3">
        <v>0.03</v>
      </c>
      <c r="I33" s="71">
        <v>0.15</v>
      </c>
      <c r="J33" s="71">
        <v>0.25</v>
      </c>
    </row>
    <row r="34" spans="1:10" s="39" customFormat="1" x14ac:dyDescent="0.25">
      <c r="A34" s="5"/>
      <c r="B34" s="5"/>
      <c r="C34" s="12"/>
      <c r="D34" s="5"/>
      <c r="E34" s="5"/>
      <c r="I34" s="237">
        <f>+C37+C45+C48</f>
        <v>3.5000000000000003E-2</v>
      </c>
      <c r="J34" s="237">
        <f>+D37+D45+D48</f>
        <v>5.7500000000000002E-2</v>
      </c>
    </row>
    <row r="35" spans="1:10" s="39" customFormat="1" x14ac:dyDescent="0.25">
      <c r="A35" s="5"/>
      <c r="B35" s="5"/>
      <c r="C35" s="12"/>
      <c r="D35" s="5"/>
      <c r="E35" s="5"/>
      <c r="I35" s="69">
        <f>+I34/I33</f>
        <v>0.23333333333333336</v>
      </c>
      <c r="J35" s="69">
        <f>+J34/J33</f>
        <v>0.23</v>
      </c>
    </row>
    <row r="36" spans="1:10" s="39" customFormat="1" ht="15" customHeight="1" x14ac:dyDescent="0.25">
      <c r="A36" s="5"/>
      <c r="B36" s="5"/>
      <c r="C36" s="72" t="s">
        <v>3</v>
      </c>
      <c r="D36" s="72" t="s">
        <v>4</v>
      </c>
      <c r="E36" s="72" t="s">
        <v>5</v>
      </c>
    </row>
    <row r="37" spans="1:10" s="39" customFormat="1" x14ac:dyDescent="0.25">
      <c r="A37" s="54" t="s">
        <v>6</v>
      </c>
      <c r="B37" s="2" t="s">
        <v>2</v>
      </c>
      <c r="C37" s="21">
        <v>2.5000000000000001E-2</v>
      </c>
      <c r="D37" s="3">
        <v>0.04</v>
      </c>
      <c r="E37" s="3">
        <v>3.5000000000000003E-2</v>
      </c>
    </row>
    <row r="38" spans="1:10" s="39" customFormat="1" x14ac:dyDescent="0.25">
      <c r="A38" s="5"/>
      <c r="B38" s="5"/>
      <c r="C38" s="12"/>
      <c r="D38" s="5"/>
      <c r="E38" s="5"/>
      <c r="G38" s="188"/>
      <c r="H38" s="188"/>
    </row>
    <row r="39" spans="1:10" s="39" customFormat="1" x14ac:dyDescent="0.25">
      <c r="A39" s="5"/>
      <c r="B39" s="5"/>
      <c r="C39" s="72" t="s">
        <v>3</v>
      </c>
      <c r="D39" s="72" t="s">
        <v>4</v>
      </c>
      <c r="E39" s="72" t="s">
        <v>5</v>
      </c>
    </row>
    <row r="40" spans="1:10" s="39" customFormat="1" x14ac:dyDescent="0.25">
      <c r="A40" s="172" t="s">
        <v>26</v>
      </c>
      <c r="B40" s="2" t="s">
        <v>6</v>
      </c>
      <c r="C40" s="21">
        <v>0.02</v>
      </c>
      <c r="D40" s="3">
        <v>0.02</v>
      </c>
      <c r="E40" s="3">
        <v>0.02</v>
      </c>
    </row>
    <row r="41" spans="1:10" s="39" customFormat="1" x14ac:dyDescent="0.25">
      <c r="A41" s="172"/>
      <c r="B41" s="2" t="s">
        <v>0</v>
      </c>
      <c r="C41" s="21">
        <v>1.4999999999999999E-2</v>
      </c>
      <c r="D41" s="3">
        <v>1.4999999999999999E-2</v>
      </c>
      <c r="E41" s="3">
        <v>1.4999999999999999E-2</v>
      </c>
    </row>
    <row r="42" spans="1:10" s="39" customFormat="1" x14ac:dyDescent="0.25">
      <c r="A42" s="5"/>
      <c r="B42" s="5"/>
      <c r="C42" s="12"/>
      <c r="D42" s="5"/>
      <c r="E42" s="5"/>
    </row>
    <row r="43" spans="1:10" s="39" customFormat="1" x14ac:dyDescent="0.25">
      <c r="A43" s="5"/>
      <c r="B43" s="5"/>
      <c r="C43" s="12"/>
      <c r="D43" s="5"/>
      <c r="E43" s="5"/>
    </row>
    <row r="44" spans="1:10" s="39" customFormat="1" x14ac:dyDescent="0.25">
      <c r="A44" s="5"/>
      <c r="B44" s="5"/>
      <c r="C44" s="72" t="s">
        <v>3</v>
      </c>
      <c r="D44" s="72" t="s">
        <v>4</v>
      </c>
      <c r="E44" s="72" t="s">
        <v>5</v>
      </c>
    </row>
    <row r="45" spans="1:10" s="39" customFormat="1" x14ac:dyDescent="0.25">
      <c r="A45" s="108" t="s">
        <v>7</v>
      </c>
      <c r="B45" s="2" t="s">
        <v>2</v>
      </c>
      <c r="C45" s="21">
        <v>7.4999999999999997E-3</v>
      </c>
      <c r="D45" s="3">
        <v>1.2500000000000001E-2</v>
      </c>
      <c r="E45" s="3">
        <v>1.2500000000000001E-2</v>
      </c>
    </row>
    <row r="46" spans="1:10" x14ac:dyDescent="0.25">
      <c r="C46" s="17"/>
    </row>
    <row r="47" spans="1:10" s="39" customFormat="1" x14ac:dyDescent="0.25">
      <c r="A47"/>
      <c r="B47" s="5"/>
      <c r="C47" s="72" t="s">
        <v>3</v>
      </c>
      <c r="D47" s="72" t="s">
        <v>4</v>
      </c>
      <c r="E47" s="72" t="s">
        <v>5</v>
      </c>
      <c r="F47"/>
    </row>
    <row r="48" spans="1:10" s="39" customFormat="1" x14ac:dyDescent="0.25">
      <c r="A48" s="109" t="s">
        <v>15</v>
      </c>
      <c r="B48" s="2" t="s">
        <v>2</v>
      </c>
      <c r="C48" s="21">
        <v>2.5000000000000001E-3</v>
      </c>
      <c r="D48" s="3">
        <v>5.0000000000000001E-3</v>
      </c>
      <c r="E48" s="3"/>
      <c r="F48"/>
    </row>
    <row r="49" spans="1:6" x14ac:dyDescent="0.25">
      <c r="F49" s="57" t="s">
        <v>36</v>
      </c>
    </row>
    <row r="52" spans="1:6" x14ac:dyDescent="0.25">
      <c r="B52" s="35" t="s">
        <v>37</v>
      </c>
      <c r="C52" s="35"/>
      <c r="D52" s="35"/>
    </row>
    <row r="54" spans="1:6" x14ac:dyDescent="0.25">
      <c r="A54" s="5" t="s">
        <v>31</v>
      </c>
      <c r="B54" s="35"/>
      <c r="C54" s="5" t="s">
        <v>24</v>
      </c>
      <c r="D54" s="5"/>
      <c r="E54" s="5" t="s">
        <v>23</v>
      </c>
    </row>
  </sheetData>
  <mergeCells count="9">
    <mergeCell ref="A40:A41"/>
    <mergeCell ref="G38:H38"/>
    <mergeCell ref="A30:A31"/>
    <mergeCell ref="A6:A7"/>
    <mergeCell ref="A9:A10"/>
    <mergeCell ref="A14:A15"/>
    <mergeCell ref="A18:A19"/>
    <mergeCell ref="A23:A24"/>
    <mergeCell ref="A27:A28"/>
  </mergeCells>
  <pageMargins left="0.7" right="0.7" top="0.75" bottom="0.75" header="0.3" footer="0.3"/>
  <pageSetup paperSize="9" scale="88" orientation="portrait" r:id="rId1"/>
  <colBreaks count="1" manualBreakCount="1">
    <brk id="6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ED5B-2DC4-4478-A259-FA93F4EC3B69}">
  <sheetPr>
    <pageSetUpPr fitToPage="1"/>
  </sheetPr>
  <dimension ref="A4:K50"/>
  <sheetViews>
    <sheetView view="pageBreakPreview" zoomScaleNormal="100" zoomScaleSheetLayoutView="100" workbookViewId="0">
      <selection activeCell="N4" sqref="G4:N40"/>
    </sheetView>
  </sheetViews>
  <sheetFormatPr defaultRowHeight="15" x14ac:dyDescent="0.25"/>
  <cols>
    <col min="1" max="1" width="17.85546875" customWidth="1"/>
    <col min="2" max="2" width="9.85546875" customWidth="1"/>
    <col min="3" max="3" width="14.42578125" customWidth="1"/>
    <col min="4" max="4" width="24.7109375" customWidth="1"/>
  </cols>
  <sheetData>
    <row r="4" spans="1:11" ht="29.25" x14ac:dyDescent="0.7">
      <c r="A4" s="152" t="s">
        <v>178</v>
      </c>
      <c r="C4" s="51"/>
      <c r="D4" s="50"/>
    </row>
    <row r="5" spans="1:11" x14ac:dyDescent="0.25">
      <c r="D5" s="35" t="s">
        <v>74</v>
      </c>
      <c r="G5" s="35"/>
      <c r="H5" s="35"/>
    </row>
    <row r="6" spans="1:11" ht="22.5" x14ac:dyDescent="0.55000000000000004">
      <c r="A6" s="218" t="s">
        <v>1</v>
      </c>
      <c r="C6" s="51"/>
      <c r="D6" s="52" t="s">
        <v>179</v>
      </c>
      <c r="E6" s="50"/>
      <c r="F6" s="51"/>
      <c r="G6" s="50"/>
      <c r="H6" s="50"/>
      <c r="I6" s="155"/>
    </row>
    <row r="7" spans="1:11" ht="22.5" x14ac:dyDescent="0.55000000000000004">
      <c r="A7" s="218"/>
      <c r="C7" s="51"/>
      <c r="D7" s="52"/>
      <c r="E7" s="50"/>
      <c r="F7" s="51"/>
      <c r="G7" s="50"/>
      <c r="H7" s="154"/>
      <c r="I7" s="154"/>
      <c r="J7" s="154"/>
      <c r="K7" s="154"/>
    </row>
    <row r="8" spans="1:11" x14ac:dyDescent="0.25">
      <c r="B8" s="5"/>
      <c r="C8" s="72" t="s">
        <v>181</v>
      </c>
      <c r="D8" s="72" t="s">
        <v>180</v>
      </c>
      <c r="E8" s="72" t="s">
        <v>97</v>
      </c>
      <c r="F8" s="1"/>
      <c r="I8" s="131"/>
      <c r="J8" s="131"/>
      <c r="K8" s="131"/>
    </row>
    <row r="9" spans="1:11" x14ac:dyDescent="0.25">
      <c r="A9" s="149" t="s">
        <v>0</v>
      </c>
      <c r="B9" s="2" t="s">
        <v>1</v>
      </c>
      <c r="C9" s="3">
        <v>7.4999999999999997E-3</v>
      </c>
      <c r="D9" s="3">
        <v>1.2500000000000001E-2</v>
      </c>
      <c r="E9" s="3">
        <v>1.7500000000000002E-2</v>
      </c>
      <c r="F9" s="1"/>
      <c r="G9" s="111"/>
    </row>
    <row r="10" spans="1:11" x14ac:dyDescent="0.25">
      <c r="A10" s="5"/>
      <c r="B10" s="5"/>
      <c r="C10" s="5"/>
      <c r="D10" s="5"/>
    </row>
    <row r="11" spans="1:11" x14ac:dyDescent="0.25">
      <c r="A11" s="5"/>
      <c r="B11" s="5"/>
      <c r="C11" s="72" t="s">
        <v>181</v>
      </c>
      <c r="D11" s="72" t="s">
        <v>96</v>
      </c>
      <c r="E11" s="72" t="s">
        <v>97</v>
      </c>
    </row>
    <row r="12" spans="1:11" x14ac:dyDescent="0.25">
      <c r="A12" s="153" t="s">
        <v>6</v>
      </c>
      <c r="B12" s="2" t="s">
        <v>1</v>
      </c>
      <c r="C12" s="3">
        <v>0.01</v>
      </c>
      <c r="D12" s="3">
        <v>0.02</v>
      </c>
      <c r="E12" s="3">
        <v>2.2499999999999999E-2</v>
      </c>
    </row>
    <row r="13" spans="1:11" x14ac:dyDescent="0.25">
      <c r="A13" s="5"/>
      <c r="B13" s="5"/>
      <c r="C13" s="5"/>
      <c r="D13" s="5"/>
    </row>
    <row r="14" spans="1:11" x14ac:dyDescent="0.25">
      <c r="A14" s="5"/>
      <c r="B14" s="5"/>
      <c r="C14" s="72" t="s">
        <v>4</v>
      </c>
      <c r="D14" s="72" t="s">
        <v>5</v>
      </c>
    </row>
    <row r="15" spans="1:11" x14ac:dyDescent="0.25">
      <c r="A15" s="172" t="s">
        <v>26</v>
      </c>
      <c r="B15" s="2" t="s">
        <v>6</v>
      </c>
      <c r="C15" s="3">
        <v>0.02</v>
      </c>
      <c r="D15" s="3"/>
    </row>
    <row r="16" spans="1:11" x14ac:dyDescent="0.25">
      <c r="A16" s="172"/>
      <c r="B16" s="2" t="s">
        <v>0</v>
      </c>
      <c r="C16" s="3">
        <v>1.4999999999999999E-2</v>
      </c>
      <c r="D16" s="3"/>
    </row>
    <row r="17" spans="1:11" x14ac:dyDescent="0.25">
      <c r="A17" s="5"/>
      <c r="B17" s="5"/>
      <c r="C17" s="5"/>
      <c r="D17" s="5"/>
    </row>
    <row r="18" spans="1:11" x14ac:dyDescent="0.25">
      <c r="A18" s="5"/>
      <c r="B18" s="5"/>
      <c r="C18" s="5"/>
      <c r="D18" s="5"/>
    </row>
    <row r="19" spans="1:11" x14ac:dyDescent="0.25">
      <c r="A19" s="5"/>
      <c r="B19" s="5"/>
      <c r="C19" s="72" t="s">
        <v>181</v>
      </c>
      <c r="D19" s="72" t="s">
        <v>96</v>
      </c>
      <c r="E19" s="72" t="s">
        <v>97</v>
      </c>
    </row>
    <row r="20" spans="1:11" x14ac:dyDescent="0.25">
      <c r="A20" s="150" t="s">
        <v>7</v>
      </c>
      <c r="B20" s="2" t="s">
        <v>1</v>
      </c>
      <c r="C20" s="3">
        <v>5.0000000000000001E-3</v>
      </c>
      <c r="D20" s="3">
        <v>7.4999999999999997E-3</v>
      </c>
      <c r="E20" s="3">
        <v>1.2500000000000001E-2</v>
      </c>
    </row>
    <row r="22" spans="1:11" x14ac:dyDescent="0.25">
      <c r="B22" s="5"/>
      <c r="C22" s="72" t="s">
        <v>181</v>
      </c>
      <c r="D22" s="72" t="s">
        <v>96</v>
      </c>
      <c r="E22" s="72" t="s">
        <v>97</v>
      </c>
    </row>
    <row r="23" spans="1:11" x14ac:dyDescent="0.25">
      <c r="A23" s="151" t="s">
        <v>15</v>
      </c>
      <c r="B23" s="2" t="s">
        <v>1</v>
      </c>
      <c r="C23" s="3">
        <v>2.5000000000000001E-3</v>
      </c>
      <c r="D23" s="3">
        <v>5.0000000000000001E-3</v>
      </c>
      <c r="E23" s="3">
        <v>6.0000000000000001E-3</v>
      </c>
    </row>
    <row r="26" spans="1:11" x14ac:dyDescent="0.25">
      <c r="A26" s="180" t="s">
        <v>2</v>
      </c>
    </row>
    <row r="27" spans="1:11" x14ac:dyDescent="0.25">
      <c r="A27" s="180"/>
    </row>
    <row r="28" spans="1:11" x14ac:dyDescent="0.25">
      <c r="A28" s="5"/>
      <c r="B28" s="5"/>
      <c r="C28" s="72" t="s">
        <v>181</v>
      </c>
      <c r="D28" s="72" t="s">
        <v>182</v>
      </c>
      <c r="E28" s="72" t="s">
        <v>183</v>
      </c>
      <c r="F28" s="1"/>
      <c r="I28" s="155"/>
    </row>
    <row r="29" spans="1:11" x14ac:dyDescent="0.25">
      <c r="A29" s="149" t="s">
        <v>0</v>
      </c>
      <c r="B29" s="2" t="s">
        <v>2</v>
      </c>
      <c r="C29" s="3">
        <v>0.01</v>
      </c>
      <c r="D29" s="3">
        <v>0.02</v>
      </c>
      <c r="E29" s="3">
        <v>0.03</v>
      </c>
      <c r="F29" s="1"/>
      <c r="G29" s="111"/>
      <c r="I29" s="154"/>
      <c r="J29" s="154"/>
      <c r="K29" s="154"/>
    </row>
    <row r="30" spans="1:11" x14ac:dyDescent="0.25">
      <c r="A30" s="5"/>
      <c r="B30" s="5"/>
      <c r="C30" s="5"/>
      <c r="D30" s="5"/>
      <c r="I30" s="131"/>
      <c r="J30" s="131"/>
      <c r="K30" s="131"/>
    </row>
    <row r="31" spans="1:11" x14ac:dyDescent="0.25">
      <c r="A31" s="5"/>
      <c r="B31" s="5"/>
      <c r="C31" s="72" t="s">
        <v>181</v>
      </c>
      <c r="D31" s="72" t="s">
        <v>182</v>
      </c>
      <c r="E31" s="72" t="s">
        <v>183</v>
      </c>
    </row>
    <row r="32" spans="1:11" x14ac:dyDescent="0.25">
      <c r="A32" s="153" t="s">
        <v>6</v>
      </c>
      <c r="B32" s="2" t="s">
        <v>2</v>
      </c>
      <c r="C32" s="3">
        <v>0.02</v>
      </c>
      <c r="D32" s="3">
        <v>0.03</v>
      </c>
      <c r="E32" s="3">
        <v>0.04</v>
      </c>
    </row>
    <row r="33" spans="1:5" x14ac:dyDescent="0.25">
      <c r="A33" s="5"/>
      <c r="B33" s="5"/>
      <c r="C33" s="5"/>
      <c r="D33" s="5"/>
    </row>
    <row r="34" spans="1:5" x14ac:dyDescent="0.25">
      <c r="A34" s="5"/>
      <c r="B34" s="5"/>
      <c r="C34" s="72" t="s">
        <v>4</v>
      </c>
      <c r="D34" s="72" t="s">
        <v>5</v>
      </c>
    </row>
    <row r="35" spans="1:5" x14ac:dyDescent="0.25">
      <c r="A35" s="172" t="s">
        <v>26</v>
      </c>
      <c r="B35" s="2" t="s">
        <v>6</v>
      </c>
      <c r="C35" s="3">
        <v>0.02</v>
      </c>
      <c r="D35" s="3"/>
    </row>
    <row r="36" spans="1:5" x14ac:dyDescent="0.25">
      <c r="A36" s="172"/>
      <c r="B36" s="2" t="s">
        <v>0</v>
      </c>
      <c r="C36" s="3">
        <v>1.4999999999999999E-2</v>
      </c>
      <c r="D36" s="3"/>
    </row>
    <row r="37" spans="1:5" x14ac:dyDescent="0.25">
      <c r="A37" s="5"/>
      <c r="B37" s="5"/>
      <c r="C37" s="5"/>
      <c r="D37" s="5"/>
    </row>
    <row r="38" spans="1:5" x14ac:dyDescent="0.25">
      <c r="A38" s="5"/>
      <c r="B38" s="5"/>
      <c r="C38" s="5"/>
      <c r="D38" s="5"/>
    </row>
    <row r="39" spans="1:5" x14ac:dyDescent="0.25">
      <c r="A39" s="5"/>
      <c r="B39" s="5"/>
      <c r="C39" s="72" t="s">
        <v>181</v>
      </c>
      <c r="D39" s="72" t="s">
        <v>182</v>
      </c>
      <c r="E39" s="72" t="s">
        <v>183</v>
      </c>
    </row>
    <row r="40" spans="1:5" x14ac:dyDescent="0.25">
      <c r="A40" s="150" t="s">
        <v>7</v>
      </c>
      <c r="B40" s="2" t="s">
        <v>2</v>
      </c>
      <c r="C40" s="3">
        <v>7.4999999999999997E-3</v>
      </c>
      <c r="D40" s="3">
        <v>0.01</v>
      </c>
      <c r="E40" s="3">
        <v>1.2500000000000001E-2</v>
      </c>
    </row>
    <row r="42" spans="1:5" x14ac:dyDescent="0.25">
      <c r="B42" s="5"/>
      <c r="C42" s="72" t="s">
        <v>181</v>
      </c>
      <c r="D42" s="72" t="s">
        <v>182</v>
      </c>
      <c r="E42" s="72" t="s">
        <v>183</v>
      </c>
    </row>
    <row r="43" spans="1:5" x14ac:dyDescent="0.25">
      <c r="A43" s="151" t="s">
        <v>15</v>
      </c>
      <c r="B43" s="2" t="s">
        <v>2</v>
      </c>
      <c r="C43" s="3">
        <v>2.5000000000000001E-3</v>
      </c>
      <c r="D43" s="3">
        <v>5.0000000000000001E-3</v>
      </c>
      <c r="E43" s="3">
        <v>7.4999999999999997E-3</v>
      </c>
    </row>
    <row r="44" spans="1:5" x14ac:dyDescent="0.25">
      <c r="A44" s="35"/>
      <c r="B44" s="35"/>
      <c r="C44" s="35"/>
      <c r="D44" s="35" t="s">
        <v>36</v>
      </c>
    </row>
    <row r="45" spans="1:5" x14ac:dyDescent="0.25">
      <c r="A45" s="35"/>
      <c r="B45" s="35"/>
      <c r="C45" s="35"/>
      <c r="D45" s="35"/>
    </row>
    <row r="46" spans="1:5" x14ac:dyDescent="0.25">
      <c r="A46" s="35"/>
      <c r="B46" s="35"/>
      <c r="C46" s="35"/>
      <c r="D46" s="35"/>
    </row>
    <row r="47" spans="1:5" x14ac:dyDescent="0.25">
      <c r="A47" s="35"/>
      <c r="B47" s="5" t="s">
        <v>37</v>
      </c>
      <c r="C47" s="35"/>
      <c r="D47" s="35"/>
    </row>
    <row r="48" spans="1:5" x14ac:dyDescent="0.25">
      <c r="A48" s="35"/>
      <c r="B48" s="35"/>
      <c r="C48" s="35"/>
      <c r="D48" s="35"/>
    </row>
    <row r="49" spans="1:4" x14ac:dyDescent="0.25">
      <c r="A49" s="35"/>
      <c r="B49" s="35"/>
      <c r="C49" s="35"/>
      <c r="D49" s="35"/>
    </row>
    <row r="50" spans="1:4" x14ac:dyDescent="0.25">
      <c r="A50" s="35" t="s">
        <v>31</v>
      </c>
      <c r="B50" s="35"/>
      <c r="C50" s="35"/>
      <c r="D50" s="35" t="s">
        <v>23</v>
      </c>
    </row>
  </sheetData>
  <mergeCells count="4">
    <mergeCell ref="A35:A36"/>
    <mergeCell ref="A26:A27"/>
    <mergeCell ref="A6:A7"/>
    <mergeCell ref="A15:A16"/>
  </mergeCells>
  <pageMargins left="0.7" right="0.7" top="0.62" bottom="0.47" header="0.3" footer="0.3"/>
  <pageSetup paperSize="9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3515-4585-421D-99B2-10A60FFB069F}">
  <sheetPr>
    <pageSetUpPr fitToPage="1"/>
  </sheetPr>
  <dimension ref="A4:R50"/>
  <sheetViews>
    <sheetView view="pageBreakPreview" topLeftCell="A14" zoomScaleNormal="100" zoomScaleSheetLayoutView="100" workbookViewId="0">
      <selection activeCell="N36" sqref="N36"/>
    </sheetView>
  </sheetViews>
  <sheetFormatPr defaultRowHeight="15" x14ac:dyDescent="0.25"/>
  <cols>
    <col min="1" max="1" width="17.85546875" customWidth="1"/>
    <col min="2" max="2" width="9.85546875" customWidth="1"/>
    <col min="3" max="3" width="14.42578125" customWidth="1"/>
    <col min="4" max="4" width="10.5703125" customWidth="1"/>
    <col min="6" max="6" width="9.5703125" bestFit="1" customWidth="1"/>
    <col min="7" max="9" width="11.5703125" bestFit="1" customWidth="1"/>
  </cols>
  <sheetData>
    <row r="4" spans="1:18" ht="29.25" x14ac:dyDescent="0.7">
      <c r="A4" s="152" t="s">
        <v>178</v>
      </c>
      <c r="C4" s="51"/>
      <c r="D4" s="50"/>
    </row>
    <row r="5" spans="1:18" x14ac:dyDescent="0.25">
      <c r="E5" s="35" t="s">
        <v>74</v>
      </c>
      <c r="I5" s="35"/>
      <c r="J5" s="35"/>
    </row>
    <row r="6" spans="1:18" ht="22.5" x14ac:dyDescent="0.55000000000000004">
      <c r="A6" s="218" t="s">
        <v>1</v>
      </c>
      <c r="C6" s="51"/>
      <c r="E6" s="52" t="s">
        <v>179</v>
      </c>
      <c r="F6" s="51"/>
      <c r="G6" s="51"/>
      <c r="H6" s="51"/>
      <c r="I6" s="50"/>
      <c r="J6" s="50"/>
      <c r="K6" s="155">
        <v>6</v>
      </c>
      <c r="L6">
        <v>7</v>
      </c>
      <c r="M6">
        <v>8</v>
      </c>
      <c r="N6">
        <v>9</v>
      </c>
      <c r="O6">
        <v>10</v>
      </c>
      <c r="P6">
        <v>12</v>
      </c>
      <c r="Q6">
        <v>14</v>
      </c>
      <c r="R6">
        <v>16</v>
      </c>
    </row>
    <row r="7" spans="1:18" ht="22.5" x14ac:dyDescent="0.55000000000000004">
      <c r="A7" s="218"/>
      <c r="C7" s="51"/>
      <c r="D7" s="52"/>
      <c r="E7" s="50"/>
      <c r="F7" s="51"/>
      <c r="G7" s="51"/>
      <c r="H7" s="51"/>
      <c r="I7" s="50"/>
      <c r="J7" s="154"/>
      <c r="K7" s="154">
        <f>+C12+C20+C23</f>
        <v>1.375E-2</v>
      </c>
      <c r="L7" s="154">
        <f t="shared" ref="L7:R7" si="0">+D12+D20+D23</f>
        <v>1.7000000000000001E-2</v>
      </c>
      <c r="M7" s="154">
        <f t="shared" si="0"/>
        <v>2.0999999999999998E-2</v>
      </c>
      <c r="N7" s="154">
        <f t="shared" si="0"/>
        <v>2.35E-2</v>
      </c>
      <c r="O7" s="154">
        <f t="shared" si="0"/>
        <v>2.6499999999999999E-2</v>
      </c>
      <c r="P7" s="154">
        <f t="shared" si="0"/>
        <v>3.15E-2</v>
      </c>
      <c r="Q7" s="154">
        <f t="shared" si="0"/>
        <v>3.7499999999999999E-2</v>
      </c>
      <c r="R7" s="154">
        <f t="shared" si="0"/>
        <v>4.3500000000000004E-2</v>
      </c>
    </row>
    <row r="8" spans="1:18" x14ac:dyDescent="0.25">
      <c r="B8" s="5"/>
      <c r="C8" s="72" t="s">
        <v>184</v>
      </c>
      <c r="D8" s="72" t="s">
        <v>185</v>
      </c>
      <c r="E8" s="72" t="s">
        <v>186</v>
      </c>
      <c r="F8" s="72" t="s">
        <v>131</v>
      </c>
      <c r="G8" s="72" t="s">
        <v>191</v>
      </c>
      <c r="H8" s="72" t="s">
        <v>187</v>
      </c>
      <c r="I8" s="72" t="s">
        <v>188</v>
      </c>
      <c r="J8" s="72" t="s">
        <v>189</v>
      </c>
      <c r="K8" s="131">
        <f>+K7/K6</f>
        <v>2.2916666666666667E-3</v>
      </c>
      <c r="L8" s="131">
        <f t="shared" ref="L8:M8" si="1">+L7/L6</f>
        <v>2.4285714285714288E-3</v>
      </c>
      <c r="M8" s="131">
        <f t="shared" si="1"/>
        <v>2.6249999999999997E-3</v>
      </c>
      <c r="N8" s="131">
        <f t="shared" ref="N8" si="2">+N7/N6</f>
        <v>2.6111111111111109E-3</v>
      </c>
      <c r="O8" s="131">
        <f t="shared" ref="O8" si="3">+O7/O6</f>
        <v>2.65E-3</v>
      </c>
      <c r="P8" s="131">
        <f t="shared" ref="P8" si="4">+P7/P6</f>
        <v>2.6250000000000002E-3</v>
      </c>
      <c r="Q8" s="131">
        <f t="shared" ref="Q8" si="5">+Q7/Q6</f>
        <v>2.6785714285714286E-3</v>
      </c>
      <c r="R8" s="131">
        <f t="shared" ref="R8" si="6">+R7/R6</f>
        <v>2.7187500000000002E-3</v>
      </c>
    </row>
    <row r="9" spans="1:18" x14ac:dyDescent="0.25">
      <c r="A9" s="149" t="s">
        <v>0</v>
      </c>
      <c r="B9" s="2" t="s">
        <v>1</v>
      </c>
      <c r="C9" s="3"/>
      <c r="D9" s="3"/>
      <c r="E9" s="3"/>
      <c r="F9" s="3"/>
      <c r="G9" s="3"/>
      <c r="H9" s="3"/>
      <c r="I9" s="3"/>
      <c r="J9" s="3"/>
    </row>
    <row r="10" spans="1:18" x14ac:dyDescent="0.25">
      <c r="A10" s="5"/>
      <c r="B10" s="5"/>
      <c r="C10" s="5"/>
      <c r="D10" s="5"/>
    </row>
    <row r="11" spans="1:18" x14ac:dyDescent="0.25">
      <c r="A11" s="5"/>
      <c r="B11" s="5"/>
      <c r="C11" s="72" t="s">
        <v>184</v>
      </c>
      <c r="D11" s="72" t="s">
        <v>185</v>
      </c>
      <c r="E11" s="72" t="s">
        <v>186</v>
      </c>
      <c r="F11" s="72" t="s">
        <v>131</v>
      </c>
      <c r="G11" s="72" t="s">
        <v>191</v>
      </c>
      <c r="H11" s="72" t="s">
        <v>187</v>
      </c>
      <c r="I11" s="72" t="s">
        <v>188</v>
      </c>
      <c r="J11" s="72" t="s">
        <v>189</v>
      </c>
    </row>
    <row r="12" spans="1:18" x14ac:dyDescent="0.25">
      <c r="A12" s="153" t="s">
        <v>6</v>
      </c>
      <c r="B12" s="2" t="s">
        <v>1</v>
      </c>
      <c r="C12" s="3">
        <v>0.01</v>
      </c>
      <c r="D12" s="3">
        <v>1.2500000000000001E-2</v>
      </c>
      <c r="E12" s="3">
        <v>1.4999999999999999E-2</v>
      </c>
      <c r="F12" s="3">
        <v>1.6E-2</v>
      </c>
      <c r="G12" s="3">
        <v>1.7500000000000002E-2</v>
      </c>
      <c r="H12" s="3">
        <v>0.02</v>
      </c>
      <c r="I12" s="3">
        <v>2.2499999999999999E-2</v>
      </c>
      <c r="J12" s="3">
        <v>2.5000000000000001E-2</v>
      </c>
    </row>
    <row r="13" spans="1:18" x14ac:dyDescent="0.25">
      <c r="A13" s="5"/>
      <c r="B13" s="5"/>
      <c r="C13" s="5"/>
      <c r="D13" s="5"/>
    </row>
    <row r="14" spans="1:18" x14ac:dyDescent="0.25">
      <c r="A14" s="5"/>
      <c r="B14" s="5"/>
      <c r="C14" s="72" t="s">
        <v>4</v>
      </c>
      <c r="D14" s="72" t="s">
        <v>5</v>
      </c>
    </row>
    <row r="15" spans="1:18" x14ac:dyDescent="0.25">
      <c r="A15" s="172" t="s">
        <v>26</v>
      </c>
      <c r="B15" s="2" t="s">
        <v>6</v>
      </c>
      <c r="C15" s="3">
        <v>0.02</v>
      </c>
      <c r="D15" s="3"/>
    </row>
    <row r="16" spans="1:18" x14ac:dyDescent="0.25">
      <c r="A16" s="172"/>
      <c r="B16" s="2" t="s">
        <v>0</v>
      </c>
      <c r="C16" s="3">
        <v>1.4999999999999999E-2</v>
      </c>
      <c r="D16" s="3"/>
    </row>
    <row r="17" spans="1:18" x14ac:dyDescent="0.25">
      <c r="A17" s="5"/>
      <c r="B17" s="5"/>
      <c r="C17" s="5"/>
      <c r="D17" s="5"/>
    </row>
    <row r="18" spans="1:18" x14ac:dyDescent="0.25">
      <c r="A18" s="5"/>
      <c r="B18" s="5"/>
      <c r="C18" s="5"/>
      <c r="D18" s="5"/>
    </row>
    <row r="19" spans="1:18" x14ac:dyDescent="0.25">
      <c r="A19" s="5"/>
      <c r="B19" s="5"/>
      <c r="C19" s="72" t="s">
        <v>184</v>
      </c>
      <c r="D19" s="72" t="s">
        <v>185</v>
      </c>
      <c r="E19" s="72" t="s">
        <v>186</v>
      </c>
      <c r="F19" s="72" t="s">
        <v>131</v>
      </c>
      <c r="G19" s="72" t="s">
        <v>191</v>
      </c>
      <c r="H19" s="72" t="s">
        <v>187</v>
      </c>
      <c r="I19" s="72" t="s">
        <v>188</v>
      </c>
      <c r="J19" s="72" t="s">
        <v>189</v>
      </c>
    </row>
    <row r="20" spans="1:18" x14ac:dyDescent="0.25">
      <c r="A20" s="150" t="s">
        <v>7</v>
      </c>
      <c r="B20" s="2" t="s">
        <v>1</v>
      </c>
      <c r="C20" s="3">
        <v>2.5000000000000001E-3</v>
      </c>
      <c r="D20" s="3">
        <v>3.0000000000000001E-3</v>
      </c>
      <c r="E20" s="3">
        <v>4.0000000000000001E-3</v>
      </c>
      <c r="F20" s="3">
        <v>5.0000000000000001E-3</v>
      </c>
      <c r="G20" s="3">
        <v>6.0000000000000001E-3</v>
      </c>
      <c r="H20" s="3">
        <v>7.4999999999999997E-3</v>
      </c>
      <c r="I20" s="3">
        <v>0.01</v>
      </c>
      <c r="J20" s="3">
        <v>1.2500000000000001E-2</v>
      </c>
    </row>
    <row r="22" spans="1:18" x14ac:dyDescent="0.25">
      <c r="B22" s="5"/>
      <c r="C22" s="72" t="s">
        <v>184</v>
      </c>
      <c r="D22" s="72" t="s">
        <v>185</v>
      </c>
      <c r="E22" s="72" t="s">
        <v>186</v>
      </c>
      <c r="F22" s="72" t="s">
        <v>131</v>
      </c>
      <c r="G22" s="72" t="s">
        <v>191</v>
      </c>
      <c r="H22" s="72" t="s">
        <v>187</v>
      </c>
      <c r="I22" s="72" t="s">
        <v>188</v>
      </c>
      <c r="J22" s="72" t="s">
        <v>189</v>
      </c>
    </row>
    <row r="23" spans="1:18" x14ac:dyDescent="0.25">
      <c r="A23" s="151" t="s">
        <v>15</v>
      </c>
      <c r="B23" s="2" t="s">
        <v>1</v>
      </c>
      <c r="C23" s="93">
        <v>1.25E-3</v>
      </c>
      <c r="D23" s="3">
        <v>1.5E-3</v>
      </c>
      <c r="E23" s="3">
        <v>2E-3</v>
      </c>
      <c r="F23" s="3">
        <v>2.5000000000000001E-3</v>
      </c>
      <c r="G23" s="3">
        <v>3.0000000000000001E-3</v>
      </c>
      <c r="H23" s="3">
        <v>4.0000000000000001E-3</v>
      </c>
      <c r="I23" s="3">
        <v>5.0000000000000001E-3</v>
      </c>
      <c r="J23" s="3">
        <v>6.0000000000000001E-3</v>
      </c>
    </row>
    <row r="26" spans="1:18" x14ac:dyDescent="0.25">
      <c r="A26" s="180" t="s">
        <v>2</v>
      </c>
    </row>
    <row r="27" spans="1:18" x14ac:dyDescent="0.25">
      <c r="A27" s="180"/>
    </row>
    <row r="28" spans="1:18" x14ac:dyDescent="0.25">
      <c r="A28" s="5"/>
      <c r="B28" s="5"/>
      <c r="C28" s="72" t="s">
        <v>184</v>
      </c>
      <c r="D28" s="72" t="s">
        <v>192</v>
      </c>
      <c r="E28" s="72" t="s">
        <v>193</v>
      </c>
      <c r="F28" s="72" t="s">
        <v>194</v>
      </c>
      <c r="G28" s="72" t="s">
        <v>131</v>
      </c>
      <c r="H28" s="72" t="s">
        <v>190</v>
      </c>
      <c r="I28" s="72" t="s">
        <v>195</v>
      </c>
      <c r="J28" s="72" t="s">
        <v>196</v>
      </c>
      <c r="K28" s="155">
        <v>10</v>
      </c>
      <c r="L28">
        <v>11</v>
      </c>
      <c r="M28">
        <v>13</v>
      </c>
      <c r="N28">
        <v>15</v>
      </c>
      <c r="O28">
        <v>17</v>
      </c>
      <c r="P28">
        <v>19</v>
      </c>
      <c r="Q28">
        <v>22</v>
      </c>
      <c r="R28">
        <v>25</v>
      </c>
    </row>
    <row r="29" spans="1:18" x14ac:dyDescent="0.25">
      <c r="A29" s="149" t="s">
        <v>0</v>
      </c>
      <c r="B29" s="2" t="s">
        <v>2</v>
      </c>
      <c r="C29" s="3"/>
      <c r="D29" s="3"/>
      <c r="E29" s="3"/>
      <c r="F29" s="3"/>
      <c r="G29" s="3"/>
      <c r="H29" s="3"/>
      <c r="I29" s="3"/>
      <c r="J29" s="3"/>
      <c r="K29" s="154">
        <f>+C32+C40+C43</f>
        <v>2.2499999999999999E-2</v>
      </c>
      <c r="L29" s="154">
        <f>+D32+D40+D43</f>
        <v>2.6499999999999999E-2</v>
      </c>
      <c r="M29" s="154">
        <f>+E32+E40+E43</f>
        <v>3.15E-2</v>
      </c>
      <c r="N29" s="154">
        <f t="shared" ref="N29:Q29" si="7">+F32+F40+F43</f>
        <v>3.85E-2</v>
      </c>
      <c r="O29" s="154">
        <f t="shared" si="7"/>
        <v>4.3499999999999997E-2</v>
      </c>
      <c r="P29" s="154">
        <f t="shared" si="7"/>
        <v>4.9999999999999996E-2</v>
      </c>
      <c r="Q29" s="154">
        <f t="shared" si="7"/>
        <v>5.7000000000000002E-2</v>
      </c>
      <c r="R29" s="154">
        <f>+J32+J40+J43</f>
        <v>6.5000000000000002E-2</v>
      </c>
    </row>
    <row r="30" spans="1:18" x14ac:dyDescent="0.25">
      <c r="A30" s="5"/>
      <c r="B30" s="5"/>
      <c r="C30" s="5"/>
      <c r="D30" s="5"/>
      <c r="K30" s="131">
        <f>+K29/K28</f>
        <v>2.2499999999999998E-3</v>
      </c>
      <c r="L30" s="131">
        <f t="shared" ref="L30:R30" si="8">+L29/L28</f>
        <v>2.4090909090909089E-3</v>
      </c>
      <c r="M30" s="131">
        <f t="shared" si="8"/>
        <v>2.4230769230769232E-3</v>
      </c>
      <c r="N30" s="131">
        <f t="shared" si="8"/>
        <v>2.5666666666666667E-3</v>
      </c>
      <c r="O30" s="131">
        <f t="shared" si="8"/>
        <v>2.5588235294117644E-3</v>
      </c>
      <c r="P30" s="131">
        <f t="shared" si="8"/>
        <v>2.631578947368421E-3</v>
      </c>
      <c r="Q30" s="131">
        <f t="shared" si="8"/>
        <v>2.5909090909090912E-3</v>
      </c>
      <c r="R30" s="131">
        <f t="shared" si="8"/>
        <v>2.5999999999999999E-3</v>
      </c>
    </row>
    <row r="31" spans="1:18" x14ac:dyDescent="0.25">
      <c r="A31" s="5"/>
      <c r="B31" s="5"/>
      <c r="C31" s="72" t="s">
        <v>184</v>
      </c>
      <c r="D31" s="72" t="s">
        <v>192</v>
      </c>
      <c r="E31" s="72" t="s">
        <v>193</v>
      </c>
      <c r="F31" s="72" t="s">
        <v>194</v>
      </c>
      <c r="G31" s="72" t="s">
        <v>131</v>
      </c>
      <c r="H31" s="72" t="s">
        <v>190</v>
      </c>
      <c r="I31" s="72" t="s">
        <v>195</v>
      </c>
      <c r="J31" s="72" t="s">
        <v>196</v>
      </c>
    </row>
    <row r="32" spans="1:18" x14ac:dyDescent="0.25">
      <c r="A32" s="153" t="s">
        <v>6</v>
      </c>
      <c r="B32" s="2" t="s">
        <v>2</v>
      </c>
      <c r="C32" s="3">
        <v>1.4999999999999999E-2</v>
      </c>
      <c r="D32" s="3">
        <v>1.7500000000000002E-2</v>
      </c>
      <c r="E32" s="3">
        <v>0.02</v>
      </c>
      <c r="F32" s="3">
        <v>2.5000000000000001E-2</v>
      </c>
      <c r="G32" s="3">
        <v>2.75E-2</v>
      </c>
      <c r="H32" s="3">
        <v>0.03</v>
      </c>
      <c r="I32" s="3">
        <v>3.5000000000000003E-2</v>
      </c>
      <c r="J32" s="3">
        <v>0.04</v>
      </c>
    </row>
    <row r="33" spans="1:10" x14ac:dyDescent="0.25">
      <c r="A33" s="5"/>
      <c r="B33" s="5"/>
      <c r="C33" s="5"/>
      <c r="D33" s="5"/>
    </row>
    <row r="34" spans="1:10" x14ac:dyDescent="0.25">
      <c r="A34" s="5"/>
      <c r="B34" s="5"/>
      <c r="C34" s="72" t="s">
        <v>4</v>
      </c>
      <c r="D34" s="72" t="s">
        <v>5</v>
      </c>
    </row>
    <row r="35" spans="1:10" x14ac:dyDescent="0.25">
      <c r="A35" s="172" t="s">
        <v>26</v>
      </c>
      <c r="B35" s="2" t="s">
        <v>6</v>
      </c>
      <c r="C35" s="3">
        <v>0.02</v>
      </c>
      <c r="D35" s="3"/>
    </row>
    <row r="36" spans="1:10" x14ac:dyDescent="0.25">
      <c r="A36" s="172"/>
      <c r="B36" s="2" t="s">
        <v>0</v>
      </c>
      <c r="C36" s="3">
        <v>1.4999999999999999E-2</v>
      </c>
      <c r="D36" s="3"/>
    </row>
    <row r="37" spans="1:10" x14ac:dyDescent="0.25">
      <c r="A37" s="5"/>
      <c r="B37" s="5"/>
      <c r="C37" s="5"/>
      <c r="D37" s="5"/>
    </row>
    <row r="38" spans="1:10" x14ac:dyDescent="0.25">
      <c r="A38" s="5"/>
      <c r="B38" s="5"/>
      <c r="C38" s="5"/>
      <c r="D38" s="5"/>
    </row>
    <row r="39" spans="1:10" x14ac:dyDescent="0.25">
      <c r="A39" s="5"/>
      <c r="B39" s="5"/>
      <c r="C39" s="72" t="s">
        <v>184</v>
      </c>
      <c r="D39" s="72" t="s">
        <v>192</v>
      </c>
      <c r="E39" s="72" t="s">
        <v>193</v>
      </c>
      <c r="F39" s="72" t="s">
        <v>194</v>
      </c>
      <c r="G39" s="72" t="s">
        <v>131</v>
      </c>
      <c r="H39" s="72" t="s">
        <v>190</v>
      </c>
      <c r="I39" s="72" t="s">
        <v>195</v>
      </c>
      <c r="J39" s="72" t="s">
        <v>196</v>
      </c>
    </row>
    <row r="40" spans="1:10" x14ac:dyDescent="0.25">
      <c r="A40" s="150" t="s">
        <v>7</v>
      </c>
      <c r="B40" s="2" t="s">
        <v>2</v>
      </c>
      <c r="C40" s="3">
        <v>5.0000000000000001E-3</v>
      </c>
      <c r="D40" s="3">
        <v>6.0000000000000001E-3</v>
      </c>
      <c r="E40" s="3">
        <v>7.4999999999999997E-3</v>
      </c>
      <c r="F40" s="3">
        <v>8.5000000000000006E-3</v>
      </c>
      <c r="G40" s="3">
        <v>0.01</v>
      </c>
      <c r="H40" s="3">
        <v>1.2500000000000001E-2</v>
      </c>
      <c r="I40" s="3">
        <v>1.35E-2</v>
      </c>
      <c r="J40" s="3">
        <v>1.4999999999999999E-2</v>
      </c>
    </row>
    <row r="42" spans="1:10" x14ac:dyDescent="0.25">
      <c r="B42" s="5"/>
      <c r="C42" s="72" t="s">
        <v>184</v>
      </c>
      <c r="D42" s="72" t="s">
        <v>192</v>
      </c>
      <c r="E42" s="72" t="s">
        <v>193</v>
      </c>
      <c r="F42" s="72" t="s">
        <v>194</v>
      </c>
      <c r="G42" s="72" t="s">
        <v>131</v>
      </c>
      <c r="H42" s="72" t="s">
        <v>190</v>
      </c>
      <c r="I42" s="72" t="s">
        <v>195</v>
      </c>
      <c r="J42" s="72" t="s">
        <v>196</v>
      </c>
    </row>
    <row r="43" spans="1:10" x14ac:dyDescent="0.25">
      <c r="A43" s="151" t="s">
        <v>15</v>
      </c>
      <c r="B43" s="2" t="s">
        <v>2</v>
      </c>
      <c r="C43" s="3">
        <v>2.5000000000000001E-3</v>
      </c>
      <c r="D43" s="3">
        <v>3.0000000000000001E-3</v>
      </c>
      <c r="E43" s="3">
        <v>4.0000000000000001E-3</v>
      </c>
      <c r="F43" s="3">
        <v>5.0000000000000001E-3</v>
      </c>
      <c r="G43" s="3">
        <v>6.0000000000000001E-3</v>
      </c>
      <c r="H43" s="3">
        <v>7.4999999999999997E-3</v>
      </c>
      <c r="I43" s="3">
        <v>8.5000000000000006E-3</v>
      </c>
      <c r="J43" s="3">
        <v>0.01</v>
      </c>
    </row>
    <row r="44" spans="1:10" x14ac:dyDescent="0.25">
      <c r="A44" s="35"/>
      <c r="B44" s="35"/>
      <c r="C44" s="35"/>
      <c r="D44" s="35" t="s">
        <v>36</v>
      </c>
    </row>
    <row r="45" spans="1:10" x14ac:dyDescent="0.25">
      <c r="A45" s="35"/>
      <c r="B45" s="35"/>
      <c r="C45" s="35"/>
      <c r="D45" s="35"/>
    </row>
    <row r="46" spans="1:10" x14ac:dyDescent="0.25">
      <c r="A46" s="35"/>
      <c r="B46" s="35"/>
      <c r="C46" s="35"/>
      <c r="D46" s="35"/>
    </row>
    <row r="47" spans="1:10" x14ac:dyDescent="0.25">
      <c r="A47" s="35"/>
      <c r="B47" s="5" t="s">
        <v>37</v>
      </c>
      <c r="C47" s="35"/>
      <c r="D47" s="35"/>
    </row>
    <row r="48" spans="1:10" x14ac:dyDescent="0.25">
      <c r="A48" s="35"/>
      <c r="B48" s="35"/>
      <c r="C48" s="35"/>
      <c r="D48" s="35"/>
    </row>
    <row r="49" spans="1:4" x14ac:dyDescent="0.25">
      <c r="A49" s="35"/>
      <c r="B49" s="35"/>
      <c r="C49" s="35"/>
      <c r="D49" s="35"/>
    </row>
    <row r="50" spans="1:4" x14ac:dyDescent="0.25">
      <c r="A50" s="35" t="s">
        <v>31</v>
      </c>
      <c r="B50" s="35"/>
      <c r="C50" s="35"/>
      <c r="D50" s="35" t="s">
        <v>23</v>
      </c>
    </row>
  </sheetData>
  <mergeCells count="4">
    <mergeCell ref="A6:A7"/>
    <mergeCell ref="A15:A16"/>
    <mergeCell ref="A26:A27"/>
    <mergeCell ref="A35:A36"/>
  </mergeCells>
  <pageMargins left="0.7" right="0.7" top="0.62" bottom="0.47" header="0.3" footer="0.3"/>
  <pageSetup paperSize="9" scale="75" fitToHeight="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1F8E-7EA8-4D2A-BA44-BE23AB7668EB}">
  <dimension ref="A1:I44"/>
  <sheetViews>
    <sheetView showGridLines="0" rightToLeft="1" view="pageBreakPreview" topLeftCell="A18" zoomScaleNormal="100" zoomScaleSheetLayoutView="100" workbookViewId="0">
      <selection activeCell="F23" sqref="F23"/>
    </sheetView>
  </sheetViews>
  <sheetFormatPr defaultColWidth="9.140625" defaultRowHeight="15" x14ac:dyDescent="0.25"/>
  <cols>
    <col min="1" max="1" width="1.7109375" style="35" bestFit="1" customWidth="1"/>
    <col min="2" max="2" width="28.28515625" style="35" customWidth="1"/>
    <col min="3" max="3" width="20.85546875" style="35" customWidth="1"/>
    <col min="4" max="4" width="19.28515625" style="57" customWidth="1"/>
    <col min="5" max="5" width="17.28515625" style="57" customWidth="1"/>
    <col min="6" max="6" width="45.5703125" style="57" customWidth="1"/>
    <col min="7" max="7" width="30.42578125" style="57" customWidth="1"/>
    <col min="8" max="9" width="9.140625" style="56"/>
    <col min="10" max="16384" width="9.140625" style="35"/>
  </cols>
  <sheetData>
    <row r="1" spans="1:7" ht="25.15" customHeight="1" x14ac:dyDescent="0.25">
      <c r="B1" s="39"/>
    </row>
    <row r="2" spans="1:7" ht="25.15" customHeight="1" x14ac:dyDescent="0.25"/>
    <row r="3" spans="1:7" ht="25.15" customHeight="1" x14ac:dyDescent="0.25"/>
    <row r="4" spans="1:7" ht="30" customHeight="1" x14ac:dyDescent="0.35">
      <c r="B4" s="139" t="s">
        <v>171</v>
      </c>
    </row>
    <row r="5" spans="1:7" ht="30" customHeight="1" x14ac:dyDescent="0.35">
      <c r="B5" s="139" t="s">
        <v>168</v>
      </c>
      <c r="F5" s="25" t="s">
        <v>146</v>
      </c>
    </row>
    <row r="6" spans="1:7" ht="30" customHeight="1" x14ac:dyDescent="0.35">
      <c r="B6" s="139" t="s">
        <v>169</v>
      </c>
    </row>
    <row r="7" spans="1:7" ht="30" customHeight="1" x14ac:dyDescent="0.35">
      <c r="B7" s="139" t="s">
        <v>170</v>
      </c>
    </row>
    <row r="8" spans="1:7" ht="18.75" x14ac:dyDescent="0.3">
      <c r="A8" s="123"/>
      <c r="B8" s="115"/>
      <c r="C8" s="123"/>
      <c r="D8" s="120"/>
      <c r="E8" s="120"/>
      <c r="F8" s="120"/>
      <c r="G8" s="120"/>
    </row>
    <row r="9" spans="1:7" ht="18.75" x14ac:dyDescent="0.3">
      <c r="A9" s="123" t="s">
        <v>151</v>
      </c>
      <c r="B9" s="115" t="s">
        <v>147</v>
      </c>
      <c r="C9" s="123"/>
      <c r="D9" s="120"/>
      <c r="E9" s="120"/>
      <c r="F9" s="120"/>
      <c r="G9" s="120"/>
    </row>
    <row r="10" spans="1:7" ht="18.75" x14ac:dyDescent="0.3">
      <c r="A10" s="123"/>
      <c r="B10" s="115" t="s">
        <v>54</v>
      </c>
      <c r="C10" s="123" t="s">
        <v>152</v>
      </c>
      <c r="D10" s="120"/>
      <c r="E10" s="120"/>
      <c r="F10" s="120"/>
      <c r="G10" s="120"/>
    </row>
    <row r="11" spans="1:7" ht="18.75" x14ac:dyDescent="0.3">
      <c r="A11" s="123"/>
      <c r="B11" s="115" t="s">
        <v>134</v>
      </c>
      <c r="C11" s="123" t="s">
        <v>153</v>
      </c>
      <c r="D11" s="120"/>
      <c r="E11" s="120"/>
      <c r="F11" s="120"/>
      <c r="G11" s="120"/>
    </row>
    <row r="12" spans="1:7" ht="18.75" x14ac:dyDescent="0.3">
      <c r="A12" s="123"/>
      <c r="B12" s="115"/>
      <c r="C12" s="123"/>
      <c r="D12" s="120"/>
      <c r="E12" s="120"/>
      <c r="F12" s="120"/>
      <c r="G12" s="120"/>
    </row>
    <row r="13" spans="1:7" ht="18.75" x14ac:dyDescent="0.3">
      <c r="A13" s="123" t="s">
        <v>151</v>
      </c>
      <c r="B13" s="115" t="s">
        <v>148</v>
      </c>
      <c r="C13" s="123"/>
      <c r="D13" s="120"/>
      <c r="E13" s="120"/>
      <c r="F13" s="120"/>
      <c r="G13" s="120"/>
    </row>
    <row r="14" spans="1:7" ht="18.75" x14ac:dyDescent="0.3">
      <c r="A14" s="123"/>
      <c r="B14" s="115" t="s">
        <v>54</v>
      </c>
      <c r="C14" s="123" t="s">
        <v>154</v>
      </c>
      <c r="D14" s="120"/>
      <c r="E14" s="120"/>
      <c r="F14" s="120"/>
      <c r="G14" s="120"/>
    </row>
    <row r="15" spans="1:7" ht="18.75" x14ac:dyDescent="0.3">
      <c r="A15" s="123"/>
      <c r="B15" s="115" t="s">
        <v>149</v>
      </c>
      <c r="C15" s="123" t="s">
        <v>172</v>
      </c>
      <c r="D15" s="120"/>
      <c r="E15" s="120"/>
      <c r="F15" s="120"/>
      <c r="G15" s="120"/>
    </row>
    <row r="16" spans="1:7" ht="18.75" x14ac:dyDescent="0.3">
      <c r="A16" s="123"/>
      <c r="B16" s="115"/>
      <c r="C16" s="123"/>
      <c r="D16" s="120"/>
      <c r="E16" s="120"/>
      <c r="F16" s="120"/>
      <c r="G16" s="120"/>
    </row>
    <row r="17" spans="1:7" ht="18.75" x14ac:dyDescent="0.3">
      <c r="A17" s="123" t="s">
        <v>151</v>
      </c>
      <c r="B17" s="115" t="s">
        <v>150</v>
      </c>
      <c r="C17" s="123" t="s">
        <v>173</v>
      </c>
      <c r="D17" s="120"/>
      <c r="E17" s="120"/>
      <c r="F17" s="120"/>
      <c r="G17" s="120"/>
    </row>
    <row r="18" spans="1:7" ht="18.75" x14ac:dyDescent="0.3">
      <c r="A18" s="123"/>
      <c r="B18" s="115"/>
      <c r="C18" s="123"/>
      <c r="D18" s="120"/>
      <c r="E18" s="120"/>
      <c r="F18" s="120"/>
      <c r="G18" s="120"/>
    </row>
    <row r="19" spans="1:7" ht="18.75" x14ac:dyDescent="0.3">
      <c r="A19" s="123" t="s">
        <v>151</v>
      </c>
      <c r="B19" s="115" t="s">
        <v>155</v>
      </c>
      <c r="C19" s="123"/>
      <c r="D19" s="120"/>
      <c r="E19" s="120"/>
      <c r="F19" s="120"/>
      <c r="G19" s="120"/>
    </row>
    <row r="20" spans="1:7" ht="18.75" x14ac:dyDescent="0.3">
      <c r="A20" s="123"/>
      <c r="B20" s="115" t="s">
        <v>54</v>
      </c>
      <c r="C20" s="123" t="s">
        <v>156</v>
      </c>
      <c r="D20" s="120"/>
      <c r="E20" s="120"/>
      <c r="F20" s="120"/>
      <c r="G20" s="120"/>
    </row>
    <row r="21" spans="1:7" ht="18.75" x14ac:dyDescent="0.3">
      <c r="A21" s="123"/>
      <c r="B21" s="115" t="s">
        <v>134</v>
      </c>
      <c r="C21" s="123" t="s">
        <v>158</v>
      </c>
      <c r="D21" s="120"/>
      <c r="E21" s="120"/>
      <c r="F21" s="120"/>
      <c r="G21" s="120"/>
    </row>
    <row r="22" spans="1:7" ht="18.75" x14ac:dyDescent="0.3">
      <c r="A22" s="123"/>
      <c r="B22" s="115"/>
      <c r="C22" s="123"/>
      <c r="D22" s="120"/>
      <c r="E22" s="120"/>
      <c r="F22" s="120"/>
      <c r="G22" s="120"/>
    </row>
    <row r="23" spans="1:7" ht="18.75" x14ac:dyDescent="0.3">
      <c r="A23" s="123" t="s">
        <v>151</v>
      </c>
      <c r="B23" s="115" t="s">
        <v>157</v>
      </c>
      <c r="C23" s="123" t="s">
        <v>158</v>
      </c>
      <c r="D23" s="120"/>
      <c r="E23" s="120"/>
      <c r="F23" s="120"/>
      <c r="G23" s="120"/>
    </row>
    <row r="24" spans="1:7" ht="18.75" x14ac:dyDescent="0.3">
      <c r="A24" s="123"/>
      <c r="B24" s="115"/>
      <c r="C24" s="123"/>
      <c r="D24" s="120"/>
      <c r="E24" s="120"/>
      <c r="F24" s="120"/>
      <c r="G24" s="120"/>
    </row>
    <row r="25" spans="1:7" ht="18.75" x14ac:dyDescent="0.3">
      <c r="A25" s="123" t="s">
        <v>151</v>
      </c>
      <c r="B25" s="115" t="s">
        <v>159</v>
      </c>
      <c r="C25" s="123" t="s">
        <v>174</v>
      </c>
      <c r="D25" s="120"/>
      <c r="E25" s="120"/>
      <c r="F25" s="120"/>
      <c r="G25" s="120"/>
    </row>
    <row r="26" spans="1:7" ht="18.75" x14ac:dyDescent="0.3">
      <c r="A26" s="123"/>
      <c r="B26" s="115"/>
      <c r="C26" s="123"/>
      <c r="D26" s="120"/>
      <c r="E26" s="120"/>
      <c r="F26" s="120"/>
      <c r="G26" s="120"/>
    </row>
    <row r="27" spans="1:7" ht="18.75" x14ac:dyDescent="0.3">
      <c r="A27" s="123" t="s">
        <v>151</v>
      </c>
      <c r="B27" s="115" t="s">
        <v>160</v>
      </c>
      <c r="C27" s="123"/>
      <c r="D27" s="120"/>
      <c r="E27" s="120"/>
      <c r="F27" s="120"/>
      <c r="G27" s="120"/>
    </row>
    <row r="28" spans="1:7" ht="18.75" x14ac:dyDescent="0.3">
      <c r="A28" s="123"/>
      <c r="B28" s="115" t="s">
        <v>16</v>
      </c>
      <c r="C28" s="123" t="s">
        <v>162</v>
      </c>
      <c r="D28" s="120"/>
      <c r="E28" s="120"/>
      <c r="F28" s="120"/>
      <c r="G28" s="120"/>
    </row>
    <row r="29" spans="1:7" ht="18.75" x14ac:dyDescent="0.3">
      <c r="A29" s="123"/>
      <c r="B29" s="115" t="s">
        <v>164</v>
      </c>
      <c r="C29" s="123" t="s">
        <v>175</v>
      </c>
      <c r="D29" s="120"/>
      <c r="E29" s="120"/>
      <c r="F29" s="120"/>
      <c r="G29" s="120"/>
    </row>
    <row r="30" spans="1:7" ht="18.75" x14ac:dyDescent="0.3">
      <c r="A30" s="123"/>
      <c r="B30" s="115" t="s">
        <v>163</v>
      </c>
      <c r="C30" s="123" t="s">
        <v>158</v>
      </c>
      <c r="D30" s="120"/>
      <c r="E30" s="120"/>
      <c r="F30" s="120"/>
      <c r="G30" s="120"/>
    </row>
    <row r="31" spans="1:7" ht="18.75" x14ac:dyDescent="0.3">
      <c r="A31" s="123"/>
      <c r="B31" s="115"/>
      <c r="C31" s="123"/>
      <c r="D31" s="120"/>
      <c r="E31" s="120"/>
      <c r="F31" s="120"/>
      <c r="G31" s="120"/>
    </row>
    <row r="32" spans="1:7" ht="18.75" x14ac:dyDescent="0.3">
      <c r="A32" s="123" t="s">
        <v>151</v>
      </c>
      <c r="B32" s="115" t="s">
        <v>165</v>
      </c>
      <c r="C32" s="123"/>
      <c r="D32" s="120"/>
      <c r="E32" s="120"/>
      <c r="F32" s="120"/>
      <c r="G32" s="120"/>
    </row>
    <row r="33" spans="1:9" ht="18.75" x14ac:dyDescent="0.3">
      <c r="A33" s="123"/>
      <c r="B33" s="115" t="s">
        <v>16</v>
      </c>
      <c r="C33" s="123" t="s">
        <v>167</v>
      </c>
      <c r="D33" s="120"/>
      <c r="E33" s="120"/>
      <c r="F33" s="120"/>
      <c r="G33" s="120"/>
    </row>
    <row r="34" spans="1:9" ht="18.75" x14ac:dyDescent="0.3">
      <c r="A34" s="123"/>
      <c r="B34" s="115" t="s">
        <v>166</v>
      </c>
      <c r="C34" s="123" t="s">
        <v>167</v>
      </c>
      <c r="D34" s="120"/>
      <c r="E34" s="120"/>
      <c r="F34" s="120"/>
      <c r="G34" s="120"/>
    </row>
    <row r="35" spans="1:9" ht="18.75" x14ac:dyDescent="0.3">
      <c r="A35" s="123"/>
      <c r="B35" s="115" t="s">
        <v>161</v>
      </c>
      <c r="C35" s="123" t="s">
        <v>158</v>
      </c>
      <c r="D35" s="120"/>
      <c r="E35" s="120"/>
      <c r="F35" s="120"/>
      <c r="G35" s="120"/>
    </row>
    <row r="36" spans="1:9" x14ac:dyDescent="0.25">
      <c r="B36" s="12"/>
    </row>
    <row r="37" spans="1:9" x14ac:dyDescent="0.25">
      <c r="B37" s="12"/>
    </row>
    <row r="38" spans="1:9" x14ac:dyDescent="0.25">
      <c r="B38" s="12"/>
    </row>
    <row r="39" spans="1:9" s="57" customFormat="1" x14ac:dyDescent="0.25">
      <c r="B39" s="35"/>
      <c r="C39" s="35"/>
      <c r="F39" s="57" t="s">
        <v>37</v>
      </c>
      <c r="H39" s="56"/>
      <c r="I39" s="56"/>
    </row>
    <row r="41" spans="1:9" x14ac:dyDescent="0.25">
      <c r="B41" s="164"/>
      <c r="C41" s="164"/>
    </row>
    <row r="44" spans="1:9" ht="18.75" x14ac:dyDescent="0.3">
      <c r="B44" s="123" t="s">
        <v>23</v>
      </c>
      <c r="C44" s="123"/>
      <c r="D44" s="119" t="s">
        <v>24</v>
      </c>
      <c r="E44" s="120"/>
      <c r="F44" s="120" t="s">
        <v>31</v>
      </c>
    </row>
  </sheetData>
  <mergeCells count="1">
    <mergeCell ref="B41:C41"/>
  </mergeCells>
  <pageMargins left="0.15748031496062992" right="0.17" top="0.37" bottom="0.74803149606299213" header="0.31496062992125984" footer="0.31496062992125984"/>
  <pageSetup paperSize="9" scale="75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6824-83CC-40EC-A484-C4545D1AB862}">
  <dimension ref="B2:B8"/>
  <sheetViews>
    <sheetView workbookViewId="0">
      <selection activeCell="G17" sqref="G17"/>
    </sheetView>
  </sheetViews>
  <sheetFormatPr defaultRowHeight="15" x14ac:dyDescent="0.25"/>
  <cols>
    <col min="2" max="2" width="40.42578125" bestFit="1" customWidth="1"/>
  </cols>
  <sheetData>
    <row r="2" spans="2:2" ht="23.25" x14ac:dyDescent="0.35">
      <c r="B2" s="162"/>
    </row>
    <row r="3" spans="2:2" ht="23.25" x14ac:dyDescent="0.35">
      <c r="B3" s="162" t="s">
        <v>197</v>
      </c>
    </row>
    <row r="4" spans="2:2" ht="23.25" x14ac:dyDescent="0.35">
      <c r="B4" s="162" t="s">
        <v>198</v>
      </c>
    </row>
    <row r="5" spans="2:2" ht="23.25" x14ac:dyDescent="0.35">
      <c r="B5" s="162" t="s">
        <v>199</v>
      </c>
    </row>
    <row r="6" spans="2:2" ht="23.25" x14ac:dyDescent="0.35">
      <c r="B6" s="162" t="s">
        <v>200</v>
      </c>
    </row>
    <row r="7" spans="2:2" ht="23.25" x14ac:dyDescent="0.35">
      <c r="B7" s="162" t="s">
        <v>201</v>
      </c>
    </row>
    <row r="8" spans="2:2" ht="23.25" x14ac:dyDescent="0.35">
      <c r="B8" s="16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33</vt:i4>
      </vt:variant>
    </vt:vector>
  </HeadingPairs>
  <TitlesOfParts>
    <vt:vector size="67" baseType="lpstr">
      <vt:lpstr>symple</vt:lpstr>
      <vt:lpstr>RAya</vt:lpstr>
      <vt:lpstr>Blnk</vt:lpstr>
      <vt:lpstr>AMan</vt:lpstr>
      <vt:lpstr>VALU</vt:lpstr>
      <vt:lpstr>VALU NEW </vt:lpstr>
      <vt:lpstr>Money fellows</vt:lpstr>
      <vt:lpstr>MONEY  </vt:lpstr>
      <vt:lpstr>ALX bank </vt:lpstr>
      <vt:lpstr>ALX bank  (2)</vt:lpstr>
      <vt:lpstr>كريدى اجريكول </vt:lpstr>
      <vt:lpstr>Mogo</vt:lpstr>
      <vt:lpstr>Souhoola</vt:lpstr>
      <vt:lpstr>MONEY </vt:lpstr>
      <vt:lpstr>MONEY NEW </vt:lpstr>
      <vt:lpstr>MONEY NEW  (2)</vt:lpstr>
      <vt:lpstr>Tanmeyah</vt:lpstr>
      <vt:lpstr>كريدى اجريكول  Active</vt:lpstr>
      <vt:lpstr>وسيلة (تنفيذ)</vt:lpstr>
      <vt:lpstr>وسيلة (تحصيل)</vt:lpstr>
      <vt:lpstr>سفن تحصيل </vt:lpstr>
      <vt:lpstr>Tanmeyah قانونية</vt:lpstr>
      <vt:lpstr>سفن تحصيل..</vt:lpstr>
      <vt:lpstr>سفن تحصيل ...</vt:lpstr>
      <vt:lpstr>Fawry </vt:lpstr>
      <vt:lpstr>Fawry  </vt:lpstr>
      <vt:lpstr>Halan</vt:lpstr>
      <vt:lpstr>Halan (2)</vt:lpstr>
      <vt:lpstr>Halan (3)</vt:lpstr>
      <vt:lpstr>اراده</vt:lpstr>
      <vt:lpstr>ميد بنك</vt:lpstr>
      <vt:lpstr>ميد بنك (2)</vt:lpstr>
      <vt:lpstr>Contest</vt:lpstr>
      <vt:lpstr>الحافز</vt:lpstr>
      <vt:lpstr>'ALX bank '!Print_Area</vt:lpstr>
      <vt:lpstr>'ALX bank  (2)'!Print_Area</vt:lpstr>
      <vt:lpstr>AMan!Print_Area</vt:lpstr>
      <vt:lpstr>Blnk!Print_Area</vt:lpstr>
      <vt:lpstr>Contest!Print_Area</vt:lpstr>
      <vt:lpstr>'Fawry '!Print_Area</vt:lpstr>
      <vt:lpstr>'Fawry  '!Print_Area</vt:lpstr>
      <vt:lpstr>Halan!Print_Area</vt:lpstr>
      <vt:lpstr>'Halan (2)'!Print_Area</vt:lpstr>
      <vt:lpstr>'Halan (3)'!Print_Area</vt:lpstr>
      <vt:lpstr>Mogo!Print_Area</vt:lpstr>
      <vt:lpstr>'MONEY '!Print_Area</vt:lpstr>
      <vt:lpstr>'MONEY  '!Print_Area</vt:lpstr>
      <vt:lpstr>'Money fellows'!Print_Area</vt:lpstr>
      <vt:lpstr>'MONEY NEW '!Print_Area</vt:lpstr>
      <vt:lpstr>'MONEY NEW  (2)'!Print_Area</vt:lpstr>
      <vt:lpstr>RAya!Print_Area</vt:lpstr>
      <vt:lpstr>Souhoola!Print_Area</vt:lpstr>
      <vt:lpstr>symple!Print_Area</vt:lpstr>
      <vt:lpstr>Tanmeyah!Print_Area</vt:lpstr>
      <vt:lpstr>'Tanmeyah قانونية'!Print_Area</vt:lpstr>
      <vt:lpstr>VALU!Print_Area</vt:lpstr>
      <vt:lpstr>'VALU NEW '!Print_Area</vt:lpstr>
      <vt:lpstr>اراده!Print_Area</vt:lpstr>
      <vt:lpstr>'سفن تحصيل '!Print_Area</vt:lpstr>
      <vt:lpstr>'سفن تحصيل ...'!Print_Area</vt:lpstr>
      <vt:lpstr>'سفن تحصيل..'!Print_Area</vt:lpstr>
      <vt:lpstr>'كريدى اجريكول '!Print_Area</vt:lpstr>
      <vt:lpstr>'كريدى اجريكول  Active'!Print_Area</vt:lpstr>
      <vt:lpstr>'ميد بنك'!Print_Area</vt:lpstr>
      <vt:lpstr>'ميد بنك (2)'!Print_Area</vt:lpstr>
      <vt:lpstr>'وسيلة (تحصيل)'!Print_Area</vt:lpstr>
      <vt:lpstr>'وسيلة (تنفيذ)'!Print_Area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2025-10-08T16:10:14Z</dcterms:modified>
</cp:coreProperties>
</file>