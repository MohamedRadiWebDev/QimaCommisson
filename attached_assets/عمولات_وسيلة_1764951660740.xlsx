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adi\Downloads\"/>
    </mc:Choice>
  </mc:AlternateContent>
  <xr:revisionPtr revIDLastSave="0" documentId="13_ncr:1_{1883AC88-69CD-4353-819E-FC99737AE1D2}" xr6:coauthVersionLast="47" xr6:coauthVersionMax="47" xr10:uidLastSave="{00000000-0000-0000-0000-000000000000}"/>
  <bookViews>
    <workbookView xWindow="-120" yWindow="-120" windowWidth="20730" windowHeight="11160" xr2:uid="{9F8D057D-39EA-436A-9B20-4641E9E30110}"/>
  </bookViews>
  <sheets>
    <sheet name="Sheet1" sheetId="1" r:id="rId1"/>
    <sheet name="Comm" sheetId="2" r:id="rId2"/>
    <sheet name="Piv" sheetId="3" r:id="rId3"/>
    <sheet name="العمولة" sheetId="4" r:id="rId4"/>
    <sheet name="ورقة1" sheetId="5" r:id="rId5"/>
  </sheets>
  <definedNames>
    <definedName name="_xlnm._FilterDatabase" localSheetId="0" hidden="1">Sheet1!$A$1:$U$421</definedName>
    <definedName name="_xlnm._FilterDatabase" localSheetId="4" hidden="1">ورقة1!$A$1:$C$188</definedName>
    <definedName name="_xlnm.Print_Area" localSheetId="3">العمولة!$A$1:$G$25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5" l="1"/>
  <c r="C12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1" i="5"/>
  <c r="C10" i="5"/>
  <c r="C8" i="5"/>
  <c r="C7" i="5"/>
  <c r="C6" i="5"/>
  <c r="C5" i="5"/>
  <c r="C4" i="5"/>
  <c r="C3" i="5"/>
  <c r="C2" i="5"/>
  <c r="C188" i="5" l="1"/>
  <c r="G18" i="4" l="1" a="1"/>
  <c r="G18" i="4" s="1"/>
  <c r="G20" i="4" s="1"/>
  <c r="G21" i="4" s="1"/>
  <c r="G4" i="4" l="1" a="1"/>
  <c r="G4" i="4" s="1"/>
  <c r="G16" i="4" s="1"/>
  <c r="J9" i="2" l="1"/>
  <c r="U8" i="2"/>
  <c r="U7" i="2"/>
  <c r="U6" i="2"/>
  <c r="U5" i="2"/>
  <c r="U4" i="2"/>
  <c r="U3" i="2"/>
  <c r="U2" i="2"/>
  <c r="V2" i="2" l="1"/>
  <c r="G19" i="4"/>
  <c r="G13" i="4"/>
  <c r="G12" i="4"/>
  <c r="G11" i="4"/>
  <c r="G10" i="4"/>
  <c r="G9" i="4"/>
  <c r="G8" i="4"/>
  <c r="G7" i="4"/>
  <c r="G6" i="4"/>
  <c r="G5" i="4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<sst xmlns="http://schemas.openxmlformats.org/spreadsheetml/2006/main" count="4951" uniqueCount="1568">
  <si>
    <t>loan_key</t>
  </si>
  <si>
    <t>nid</t>
  </si>
  <si>
    <t>No. of Loans</t>
  </si>
  <si>
    <t>customer_name</t>
  </si>
  <si>
    <t>customer_key</t>
  </si>
  <si>
    <t>Bucket Was</t>
  </si>
  <si>
    <t>Bucket Is</t>
  </si>
  <si>
    <t>1000263501</t>
  </si>
  <si>
    <t>29911112301196</t>
  </si>
  <si>
    <t xml:space="preserve">عبد الرحمن عيد علي عبد القوي </t>
  </si>
  <si>
    <t>10002635</t>
  </si>
  <si>
    <t>Charged-off</t>
  </si>
  <si>
    <t>1000248701</t>
  </si>
  <si>
    <t>28706073200232</t>
  </si>
  <si>
    <t xml:space="preserve">مصطفي امين زيدان عبد العال </t>
  </si>
  <si>
    <t>10002487</t>
  </si>
  <si>
    <t>Bucket 5</t>
  </si>
  <si>
    <t>Owner</t>
  </si>
  <si>
    <t>Outstanding Principal</t>
  </si>
  <si>
    <t>Receivables Outstanding</t>
  </si>
  <si>
    <t>OVD</t>
  </si>
  <si>
    <t>Qima</t>
  </si>
  <si>
    <t>PMT</t>
  </si>
  <si>
    <t>Agency Payment</t>
  </si>
  <si>
    <t>Date of Payment</t>
  </si>
  <si>
    <t>1000942701</t>
  </si>
  <si>
    <t>28003040100142</t>
  </si>
  <si>
    <t>كريستين سعيد جيد جرجس</t>
  </si>
  <si>
    <t>10009427</t>
  </si>
  <si>
    <t>Bucket 4</t>
  </si>
  <si>
    <t>1000263502</t>
  </si>
  <si>
    <t>1000346001</t>
  </si>
  <si>
    <t>29109150107114</t>
  </si>
  <si>
    <t xml:space="preserve">محمد عيد صالح محمود </t>
  </si>
  <si>
    <t>10003460</t>
  </si>
  <si>
    <t>Bucket 2</t>
  </si>
  <si>
    <t>1000029802</t>
  </si>
  <si>
    <t>27906262601634</t>
  </si>
  <si>
    <t xml:space="preserve">رجب خطاب فاضل محمد </t>
  </si>
  <si>
    <t>10000298</t>
  </si>
  <si>
    <t>Bucket 3</t>
  </si>
  <si>
    <t>Current</t>
  </si>
  <si>
    <t>1000248702</t>
  </si>
  <si>
    <t>Bucket 6</t>
  </si>
  <si>
    <t>1000025501</t>
  </si>
  <si>
    <t>29603121401822</t>
  </si>
  <si>
    <t xml:space="preserve">مريم محمد مصطفى محمود حمزة </t>
  </si>
  <si>
    <t>10000255</t>
  </si>
  <si>
    <t>1000456901</t>
  </si>
  <si>
    <t>29208011708403</t>
  </si>
  <si>
    <t>دينا حسام الدين محمد فرج حما</t>
  </si>
  <si>
    <t>10004569</t>
  </si>
  <si>
    <t>1000839401</t>
  </si>
  <si>
    <t>29401201600352</t>
  </si>
  <si>
    <t>حماده سليمان رمضان ابراهيم الدش</t>
  </si>
  <si>
    <t>10008394</t>
  </si>
  <si>
    <t>1001016701</t>
  </si>
  <si>
    <t>28712031500171</t>
  </si>
  <si>
    <t>احمد فتوح عبدالعزيز احمد ابراهيم</t>
  </si>
  <si>
    <t>10010167</t>
  </si>
  <si>
    <t>1000033401</t>
  </si>
  <si>
    <t>27004210200573</t>
  </si>
  <si>
    <t xml:space="preserve">خالد على سعيد الديب </t>
  </si>
  <si>
    <t>10000334</t>
  </si>
  <si>
    <t>1000811001</t>
  </si>
  <si>
    <t>28609171600332</t>
  </si>
  <si>
    <t xml:space="preserve">احمد شعبان منير على يونس </t>
  </si>
  <si>
    <t>10008110</t>
  </si>
  <si>
    <t>1000942702</t>
  </si>
  <si>
    <t>1000431501</t>
  </si>
  <si>
    <t>29006260300072</t>
  </si>
  <si>
    <t xml:space="preserve">وليد كمال صبحي احمد عبدالله </t>
  </si>
  <si>
    <t>10004315</t>
  </si>
  <si>
    <t>1000418801</t>
  </si>
  <si>
    <t>27106032101776</t>
  </si>
  <si>
    <t xml:space="preserve">محمود احمد محمد سرحان </t>
  </si>
  <si>
    <t>10004188</t>
  </si>
  <si>
    <t>1000139901</t>
  </si>
  <si>
    <t>28211270105501</t>
  </si>
  <si>
    <t xml:space="preserve">مهجه جاد محمد عبداللطيف </t>
  </si>
  <si>
    <t>10001399</t>
  </si>
  <si>
    <t>1000558501</t>
  </si>
  <si>
    <t>28610151802069</t>
  </si>
  <si>
    <t>هبه محمود فتح الله عبد اللطيف</t>
  </si>
  <si>
    <t>10005585</t>
  </si>
  <si>
    <t>1000863001</t>
  </si>
  <si>
    <t>27508311500037</t>
  </si>
  <si>
    <t xml:space="preserve">وليد محمد محمد نوار </t>
  </si>
  <si>
    <t>10008630</t>
  </si>
  <si>
    <t>1000278301</t>
  </si>
  <si>
    <t>28101300100399</t>
  </si>
  <si>
    <t xml:space="preserve">احمد اسماعيل توفيق حسين </t>
  </si>
  <si>
    <t>10002783</t>
  </si>
  <si>
    <t>1000002201</t>
  </si>
  <si>
    <t>28205200105211</t>
  </si>
  <si>
    <t>عادل ماهر فهيم حنا</t>
  </si>
  <si>
    <t>10000022</t>
  </si>
  <si>
    <t>1000775001</t>
  </si>
  <si>
    <t>29610231701135</t>
  </si>
  <si>
    <t>عبدالله علاء الدين ممد عبد المنصف خلف</t>
  </si>
  <si>
    <t>10007750</t>
  </si>
  <si>
    <t>1000144401</t>
  </si>
  <si>
    <t>26604031400351</t>
  </si>
  <si>
    <t xml:space="preserve">حسني عبدالرؤوف حسين علي </t>
  </si>
  <si>
    <t>10001444</t>
  </si>
  <si>
    <t>1000845402</t>
  </si>
  <si>
    <t>27106201402063</t>
  </si>
  <si>
    <t xml:space="preserve">أمانى ابراهيم ابو الخير عبدالله </t>
  </si>
  <si>
    <t>10008454</t>
  </si>
  <si>
    <t>1000114401</t>
  </si>
  <si>
    <t>29109120101839</t>
  </si>
  <si>
    <t>مصطفي محمد رضوان حسانين</t>
  </si>
  <si>
    <t>10001144</t>
  </si>
  <si>
    <t>1000558502</t>
  </si>
  <si>
    <t>1000448901</t>
  </si>
  <si>
    <t>26607062800674</t>
  </si>
  <si>
    <t xml:space="preserve">محمد يسري شعبان بحر حسن </t>
  </si>
  <si>
    <t>10004489</t>
  </si>
  <si>
    <t>1000125101</t>
  </si>
  <si>
    <t>27609080101062</t>
  </si>
  <si>
    <t>سيده فرج الله بلال مرسال</t>
  </si>
  <si>
    <t>10001251</t>
  </si>
  <si>
    <t>1000408601</t>
  </si>
  <si>
    <t>28107111701576</t>
  </si>
  <si>
    <t xml:space="preserve">محمد نبيل عبدالعزيز شعبان </t>
  </si>
  <si>
    <t>10004086</t>
  </si>
  <si>
    <t>1000662502</t>
  </si>
  <si>
    <t>27601211301011</t>
  </si>
  <si>
    <t>صبري احمد ابراهيم ابراهيم</t>
  </si>
  <si>
    <t>10006625</t>
  </si>
  <si>
    <t>1000662501</t>
  </si>
  <si>
    <t>1000736101</t>
  </si>
  <si>
    <t>27007211400559</t>
  </si>
  <si>
    <t xml:space="preserve">ايهاب سعد اسماعيل متولي </t>
  </si>
  <si>
    <t>10007361</t>
  </si>
  <si>
    <t>1000728501</t>
  </si>
  <si>
    <t>28111158800073</t>
  </si>
  <si>
    <t xml:space="preserve">هاني مصطفى محمود على الجيزاوى </t>
  </si>
  <si>
    <t>10007285</t>
  </si>
  <si>
    <t>Bucket 1</t>
  </si>
  <si>
    <t>1000938001</t>
  </si>
  <si>
    <t>28408048800054</t>
  </si>
  <si>
    <t>شريف فتحي نعيم السيد</t>
  </si>
  <si>
    <t>10009380</t>
  </si>
  <si>
    <t>1000403201</t>
  </si>
  <si>
    <t>27306172800908</t>
  </si>
  <si>
    <t>لمياء هاشم محمود احمد ابوصادق</t>
  </si>
  <si>
    <t>10004032</t>
  </si>
  <si>
    <t>1000000901</t>
  </si>
  <si>
    <t>27206112100406</t>
  </si>
  <si>
    <t xml:space="preserve">هدي سلامه سعيد ناصر </t>
  </si>
  <si>
    <t>10000009</t>
  </si>
  <si>
    <t>1000222401</t>
  </si>
  <si>
    <t>29502028801038</t>
  </si>
  <si>
    <t>عادل خضر محمد ابو عزيزة</t>
  </si>
  <si>
    <t>10002224</t>
  </si>
  <si>
    <t>1000222402</t>
  </si>
  <si>
    <t>1000132201</t>
  </si>
  <si>
    <t>29111270200678</t>
  </si>
  <si>
    <t>عمر عصام محمد جلال بيومي فرغلي</t>
  </si>
  <si>
    <t>10001322</t>
  </si>
  <si>
    <t>1000047803</t>
  </si>
  <si>
    <t>28303100101201</t>
  </si>
  <si>
    <t>اميره حافظ محمد موسى</t>
  </si>
  <si>
    <t>10000478</t>
  </si>
  <si>
    <t>1000048202</t>
  </si>
  <si>
    <t>27311071402417</t>
  </si>
  <si>
    <t>وليد عبد الله جوده عبد المطلب</t>
  </si>
  <si>
    <t>10000482</t>
  </si>
  <si>
    <t>1000346401</t>
  </si>
  <si>
    <t>28305101300308</t>
  </si>
  <si>
    <t xml:space="preserve">سالي محمد انور عبدالحليم </t>
  </si>
  <si>
    <t>10003464</t>
  </si>
  <si>
    <t>1000265301</t>
  </si>
  <si>
    <t>27103312800191</t>
  </si>
  <si>
    <t>محمد دردير سليمان محمود</t>
  </si>
  <si>
    <t>10002653</t>
  </si>
  <si>
    <t>1000872701</t>
  </si>
  <si>
    <t>28001080104539</t>
  </si>
  <si>
    <t xml:space="preserve">تامر اسامه على كمال عبدالحفيظ </t>
  </si>
  <si>
    <t>10008727</t>
  </si>
  <si>
    <t>1000798301</t>
  </si>
  <si>
    <t>29105043400296</t>
  </si>
  <si>
    <t>عمار محمد عادل محمد فايد</t>
  </si>
  <si>
    <t>10007983</t>
  </si>
  <si>
    <t>1000714401</t>
  </si>
  <si>
    <t>28004091800994</t>
  </si>
  <si>
    <t>حسام خليل عطاالله المزين</t>
  </si>
  <si>
    <t>10007144</t>
  </si>
  <si>
    <t>1000734401</t>
  </si>
  <si>
    <t>26804181701218</t>
  </si>
  <si>
    <t xml:space="preserve">ايمن هنداوي عبدالعزيز هنداوي </t>
  </si>
  <si>
    <t>10007344</t>
  </si>
  <si>
    <t>1000358901</t>
  </si>
  <si>
    <t>28411250100456</t>
  </si>
  <si>
    <t xml:space="preserve">محمد عطيه امين محمد عطا </t>
  </si>
  <si>
    <t>10003589</t>
  </si>
  <si>
    <t>1000072201</t>
  </si>
  <si>
    <t>27004050201837</t>
  </si>
  <si>
    <t xml:space="preserve">احمد عبدالسميع محمد حلاوة </t>
  </si>
  <si>
    <t>10000722</t>
  </si>
  <si>
    <t>1000726502</t>
  </si>
  <si>
    <t>27108241301611</t>
  </si>
  <si>
    <t xml:space="preserve">عماد عبده ابراهيم محمد </t>
  </si>
  <si>
    <t>10007265</t>
  </si>
  <si>
    <t>1000388901</t>
  </si>
  <si>
    <t>28510052601715</t>
  </si>
  <si>
    <t xml:space="preserve">محمود يونس جابر عبدالرحيم </t>
  </si>
  <si>
    <t>10003889</t>
  </si>
  <si>
    <t>1000694901</t>
  </si>
  <si>
    <t>27608190201775</t>
  </si>
  <si>
    <t xml:space="preserve">مصطفى حسن على مصطفى </t>
  </si>
  <si>
    <t>10006949</t>
  </si>
  <si>
    <t>1000741201</t>
  </si>
  <si>
    <t>27309053100051</t>
  </si>
  <si>
    <t xml:space="preserve">محمد عبدالهادي حسين احمد </t>
  </si>
  <si>
    <t>10007412</t>
  </si>
  <si>
    <t>1000184401</t>
  </si>
  <si>
    <t>29204071201892</t>
  </si>
  <si>
    <t xml:space="preserve">محمد رمضان احمدالنبوى عثمان نافع </t>
  </si>
  <si>
    <t>10001844</t>
  </si>
  <si>
    <t>1000631401</t>
  </si>
  <si>
    <t>28608091300056</t>
  </si>
  <si>
    <t>رامي محمد صلاح السيد احمد</t>
  </si>
  <si>
    <t>10006314</t>
  </si>
  <si>
    <t>1000967101</t>
  </si>
  <si>
    <t>29801010123552</t>
  </si>
  <si>
    <t>مصطفى عماد عبد العزيز عريبه</t>
  </si>
  <si>
    <t>10009671</t>
  </si>
  <si>
    <t>1000044101</t>
  </si>
  <si>
    <t>28003092100353</t>
  </si>
  <si>
    <t>محمد ماهر عبدالجواد عبدربه</t>
  </si>
  <si>
    <t>10000441</t>
  </si>
  <si>
    <t>1000823002</t>
  </si>
  <si>
    <t>28308101300293</t>
  </si>
  <si>
    <t xml:space="preserve">احمد محمد عبدالحى عبدالهادي </t>
  </si>
  <si>
    <t>10008230</t>
  </si>
  <si>
    <t>1000006801</t>
  </si>
  <si>
    <t>27508100101373</t>
  </si>
  <si>
    <t>سعد ابراهيم احمد عبدالله</t>
  </si>
  <si>
    <t>10000068</t>
  </si>
  <si>
    <t>1000006802</t>
  </si>
  <si>
    <t>1000348501</t>
  </si>
  <si>
    <t>27904150202335</t>
  </si>
  <si>
    <t>محمد مصطفى مختار شحاته</t>
  </si>
  <si>
    <t>10003485</t>
  </si>
  <si>
    <t>1000692401</t>
  </si>
  <si>
    <t>28708170200533</t>
  </si>
  <si>
    <t>عمرو سعيد عبد المنعم اسماعيل</t>
  </si>
  <si>
    <t>10006924</t>
  </si>
  <si>
    <t>1000823001</t>
  </si>
  <si>
    <t>1000206201</t>
  </si>
  <si>
    <t>27504101200761</t>
  </si>
  <si>
    <t xml:space="preserve">مني ابو مسلم زكي محمد </t>
  </si>
  <si>
    <t>10002062</t>
  </si>
  <si>
    <t>1000936701</t>
  </si>
  <si>
    <t>29006250101411</t>
  </si>
  <si>
    <t>هشام رضا سيد احمد الغزالي</t>
  </si>
  <si>
    <t>10009367</t>
  </si>
  <si>
    <t>1000173901</t>
  </si>
  <si>
    <t>26911012501472</t>
  </si>
  <si>
    <t xml:space="preserve">عبدالعزيز لطفى مرسى على </t>
  </si>
  <si>
    <t>10001739</t>
  </si>
  <si>
    <t>1000766301</t>
  </si>
  <si>
    <t>28008202801028</t>
  </si>
  <si>
    <t>نيفين نبيل حفيظ تادرس</t>
  </si>
  <si>
    <t>10007663</t>
  </si>
  <si>
    <t>1000267601</t>
  </si>
  <si>
    <t>27505071200261</t>
  </si>
  <si>
    <t xml:space="preserve">نيفين فؤاد عبد المسيح إبراهيم </t>
  </si>
  <si>
    <t>10002676</t>
  </si>
  <si>
    <t>1000797601</t>
  </si>
  <si>
    <t>28404221202014</t>
  </si>
  <si>
    <t>محمد فوزي عبد الحميد المشد</t>
  </si>
  <si>
    <t>10007976</t>
  </si>
  <si>
    <t>1000438101</t>
  </si>
  <si>
    <t>27202012103071</t>
  </si>
  <si>
    <t xml:space="preserve">اسامه محمود احمد عنيبه </t>
  </si>
  <si>
    <t>10004381</t>
  </si>
  <si>
    <t>1000358902</t>
  </si>
  <si>
    <t>1000441701</t>
  </si>
  <si>
    <t>27202091201775</t>
  </si>
  <si>
    <t xml:space="preserve">محمد لطفى محمد سعد جندى </t>
  </si>
  <si>
    <t>10004417</t>
  </si>
  <si>
    <t>1000204901</t>
  </si>
  <si>
    <t>27507051401602</t>
  </si>
  <si>
    <t xml:space="preserve">جيهان محمد علي عبدالرازق </t>
  </si>
  <si>
    <t>10002049</t>
  </si>
  <si>
    <t>1000753301</t>
  </si>
  <si>
    <t>27111290200651</t>
  </si>
  <si>
    <t>محمد مرسي محمد مرسي</t>
  </si>
  <si>
    <t>10007533</t>
  </si>
  <si>
    <t>1000089801</t>
  </si>
  <si>
    <t>28309270101671</t>
  </si>
  <si>
    <t>محمد رافت محمد حسن</t>
  </si>
  <si>
    <t>10000898</t>
  </si>
  <si>
    <t>1000195301</t>
  </si>
  <si>
    <t>28609022600494</t>
  </si>
  <si>
    <t>احمد طارق سريا محمود محمدين</t>
  </si>
  <si>
    <t>10001953</t>
  </si>
  <si>
    <t>1000305501</t>
  </si>
  <si>
    <t>27009260103716</t>
  </si>
  <si>
    <t xml:space="preserve">محمد فوزي احمد سيد </t>
  </si>
  <si>
    <t>10003055</t>
  </si>
  <si>
    <t>1000305502</t>
  </si>
  <si>
    <t>1000182501</t>
  </si>
  <si>
    <t>28109152301038</t>
  </si>
  <si>
    <t>حسام الدين حمدى ضيف الله عبدالجليل</t>
  </si>
  <si>
    <t>10001825</t>
  </si>
  <si>
    <t>1000254701</t>
  </si>
  <si>
    <t>28406161802214</t>
  </si>
  <si>
    <t>محمد حمدان سعد النيدانى</t>
  </si>
  <si>
    <t>10002547</t>
  </si>
  <si>
    <t>1000119601</t>
  </si>
  <si>
    <t>28104140201419</t>
  </si>
  <si>
    <t>محمد همام فريد همام</t>
  </si>
  <si>
    <t>10001196</t>
  </si>
  <si>
    <t>1000220201</t>
  </si>
  <si>
    <t>29003120201741</t>
  </si>
  <si>
    <t>هبه غريب محمود حسين</t>
  </si>
  <si>
    <t>10002202</t>
  </si>
  <si>
    <t>1000303301</t>
  </si>
  <si>
    <t>28912298800131</t>
  </si>
  <si>
    <t>احمد ابو العلا محمد ابو العلا</t>
  </si>
  <si>
    <t>10003033</t>
  </si>
  <si>
    <t>1000032305</t>
  </si>
  <si>
    <t>28204072102509</t>
  </si>
  <si>
    <t xml:space="preserve">شيماء محمد علي محمد الصوابي </t>
  </si>
  <si>
    <t>10000323</t>
  </si>
  <si>
    <t>1000474001</t>
  </si>
  <si>
    <t>29212191700925</t>
  </si>
  <si>
    <t>دينا السيد نوح زيد</t>
  </si>
  <si>
    <t>10004740</t>
  </si>
  <si>
    <t>1000867901</t>
  </si>
  <si>
    <t>28012210101075</t>
  </si>
  <si>
    <t xml:space="preserve">هاني فتحي سعيد احمد عبدالوهاب </t>
  </si>
  <si>
    <t>10008679</t>
  </si>
  <si>
    <t>1000411901</t>
  </si>
  <si>
    <t>29202070101727</t>
  </si>
  <si>
    <t xml:space="preserve">ساره محمد عبد العظيم محمد </t>
  </si>
  <si>
    <t>10004119</t>
  </si>
  <si>
    <t>1000628703</t>
  </si>
  <si>
    <t>28211221403459</t>
  </si>
  <si>
    <t xml:space="preserve">وائل رمضان عبدالصادق محي العزب </t>
  </si>
  <si>
    <t>10006287</t>
  </si>
  <si>
    <t>1000288701</t>
  </si>
  <si>
    <t>26511041300089</t>
  </si>
  <si>
    <t xml:space="preserve">أمال رمضان على على </t>
  </si>
  <si>
    <t>10002887</t>
  </si>
  <si>
    <t>1000751201</t>
  </si>
  <si>
    <t>28010231601148</t>
  </si>
  <si>
    <t xml:space="preserve">رحاب عقل يوسف ابراهيم </t>
  </si>
  <si>
    <t>10007512</t>
  </si>
  <si>
    <t>1000348502</t>
  </si>
  <si>
    <t>1000123001</t>
  </si>
  <si>
    <t>28902162600698</t>
  </si>
  <si>
    <t xml:space="preserve">زكريا محمد زكريا احمد </t>
  </si>
  <si>
    <t>10001230</t>
  </si>
  <si>
    <t>1000440001</t>
  </si>
  <si>
    <t>27601051600563</t>
  </si>
  <si>
    <t>فاطمه فتحي السيد عماره</t>
  </si>
  <si>
    <t>10004400</t>
  </si>
  <si>
    <t>1000420801</t>
  </si>
  <si>
    <t>28010011809406</t>
  </si>
  <si>
    <t>الهام احمد محمد محمد سالم</t>
  </si>
  <si>
    <t>10004208</t>
  </si>
  <si>
    <t>1000716001</t>
  </si>
  <si>
    <t>28905292101633</t>
  </si>
  <si>
    <t>عماد حمدي احمد الزهري</t>
  </si>
  <si>
    <t>10007160</t>
  </si>
  <si>
    <t>1000088901</t>
  </si>
  <si>
    <t>28708081305046</t>
  </si>
  <si>
    <t>لبنى كامل السيد أحمد السيد</t>
  </si>
  <si>
    <t>10000889</t>
  </si>
  <si>
    <t>1000122701</t>
  </si>
  <si>
    <t>28608050102819</t>
  </si>
  <si>
    <t>محمود علي عبدالرحيم ابو دهب</t>
  </si>
  <si>
    <t>10001227</t>
  </si>
  <si>
    <t>1000104802</t>
  </si>
  <si>
    <t>28709250202207</t>
  </si>
  <si>
    <t>رانيا جمعه محمد سيد احمد الشريف</t>
  </si>
  <si>
    <t>10001048</t>
  </si>
  <si>
    <t>1000517601</t>
  </si>
  <si>
    <t>27209111300257</t>
  </si>
  <si>
    <t>زكي ابراهيم توفيق عبد الله العوامري</t>
  </si>
  <si>
    <t>10005176</t>
  </si>
  <si>
    <t>1000475401</t>
  </si>
  <si>
    <t>27804302101578</t>
  </si>
  <si>
    <t>اسامه محمد مصطفى ابراهيم</t>
  </si>
  <si>
    <t>10004754</t>
  </si>
  <si>
    <t>1000482004</t>
  </si>
  <si>
    <t>26801150105669</t>
  </si>
  <si>
    <t xml:space="preserve">نيفين محمد جمال علي احمد </t>
  </si>
  <si>
    <t>10004820</t>
  </si>
  <si>
    <t>1000937501</t>
  </si>
  <si>
    <t>28912280100263</t>
  </si>
  <si>
    <t xml:space="preserve">اسماء احمد عبدالرحمن احمد </t>
  </si>
  <si>
    <t>10009375</t>
  </si>
  <si>
    <t>1000278401</t>
  </si>
  <si>
    <t>28405071701897</t>
  </si>
  <si>
    <t>ايمن مصطفى محمود ابوزيد</t>
  </si>
  <si>
    <t>10002784</t>
  </si>
  <si>
    <t>1000933401</t>
  </si>
  <si>
    <t>28308180201157</t>
  </si>
  <si>
    <t xml:space="preserve">محمد احمد محمد السباعى </t>
  </si>
  <si>
    <t>10009334</t>
  </si>
  <si>
    <t>1000487201</t>
  </si>
  <si>
    <t>26906051301053</t>
  </si>
  <si>
    <t xml:space="preserve">ابو الفتوح عبدالله جوده منصور </t>
  </si>
  <si>
    <t>10004872</t>
  </si>
  <si>
    <t>1000369101</t>
  </si>
  <si>
    <t>29406020102573</t>
  </si>
  <si>
    <t>محمد سعيد محمد عبده عبدالرحمن</t>
  </si>
  <si>
    <t>10003691</t>
  </si>
  <si>
    <t>1000458901</t>
  </si>
  <si>
    <t>28103302600758</t>
  </si>
  <si>
    <t xml:space="preserve">مختار حسانين محمود حسانين </t>
  </si>
  <si>
    <t>10004589</t>
  </si>
  <si>
    <t>1000936702</t>
  </si>
  <si>
    <t>1000288501</t>
  </si>
  <si>
    <t>28607142602854</t>
  </si>
  <si>
    <t xml:space="preserve">حاتم أحمد السيد أحمد </t>
  </si>
  <si>
    <t>10002885</t>
  </si>
  <si>
    <t>1000284601</t>
  </si>
  <si>
    <t>30101200203335</t>
  </si>
  <si>
    <t>محمدمحمد محمد محمد احمد</t>
  </si>
  <si>
    <t>10002846</t>
  </si>
  <si>
    <t>1000247701</t>
  </si>
  <si>
    <t>26801070102863</t>
  </si>
  <si>
    <t xml:space="preserve">رضا زينهم عبد المجيد بيومي معروف </t>
  </si>
  <si>
    <t>10002477</t>
  </si>
  <si>
    <t>1000253601</t>
  </si>
  <si>
    <t>28702020100125</t>
  </si>
  <si>
    <t>ساره محمد عبدالعظيم محمد مسعود</t>
  </si>
  <si>
    <t>10002536</t>
  </si>
  <si>
    <t>1000432901</t>
  </si>
  <si>
    <t>27109241500369</t>
  </si>
  <si>
    <t>سوزان فتحي يوسف نعيم</t>
  </si>
  <si>
    <t>10004329</t>
  </si>
  <si>
    <t>1000329701</t>
  </si>
  <si>
    <t>27609250103065</t>
  </si>
  <si>
    <t xml:space="preserve">منال محي الدين ابراهيم محمد حموده </t>
  </si>
  <si>
    <t>10003297</t>
  </si>
  <si>
    <t>1000867502</t>
  </si>
  <si>
    <t>27611240100658</t>
  </si>
  <si>
    <t xml:space="preserve">تامر حمدي مصطفى اسماعيل </t>
  </si>
  <si>
    <t>10008675</t>
  </si>
  <si>
    <t>1000284401</t>
  </si>
  <si>
    <t>29006120102378</t>
  </si>
  <si>
    <t xml:space="preserve">محمود حنفى على سليم </t>
  </si>
  <si>
    <t>10002844</t>
  </si>
  <si>
    <t>1000810601</t>
  </si>
  <si>
    <t>28210182402133</t>
  </si>
  <si>
    <t xml:space="preserve">محمد عبدالله كمال محمد </t>
  </si>
  <si>
    <t>10008106</t>
  </si>
  <si>
    <t>1000936703</t>
  </si>
  <si>
    <t>1000142601</t>
  </si>
  <si>
    <t>27303261801455</t>
  </si>
  <si>
    <t>سامح يونان عبدالسيد صليب</t>
  </si>
  <si>
    <t>10001426</t>
  </si>
  <si>
    <t>1000014103</t>
  </si>
  <si>
    <t>28603190103163</t>
  </si>
  <si>
    <t xml:space="preserve">ماهينور عمر ابراهيم حسني </t>
  </si>
  <si>
    <t>10000141</t>
  </si>
  <si>
    <t>1000279801</t>
  </si>
  <si>
    <t>29804071401198</t>
  </si>
  <si>
    <t>احمد سيد رجب على سالم أبو حطب</t>
  </si>
  <si>
    <t>10002798</t>
  </si>
  <si>
    <t>1000445101</t>
  </si>
  <si>
    <t>27004170100201</t>
  </si>
  <si>
    <t xml:space="preserve">نجوي عبدالغفار عبدالجيد محمد </t>
  </si>
  <si>
    <t>10004451</t>
  </si>
  <si>
    <t>1000139601</t>
  </si>
  <si>
    <t>27707161500273</t>
  </si>
  <si>
    <t xml:space="preserve">محمود صابر محمود محمود </t>
  </si>
  <si>
    <t>10001396</t>
  </si>
  <si>
    <t>1000197101</t>
  </si>
  <si>
    <t>27401101800462</t>
  </si>
  <si>
    <t xml:space="preserve">لمياء محمد عبدالحميد درغام </t>
  </si>
  <si>
    <t>10001971</t>
  </si>
  <si>
    <t>1000065701</t>
  </si>
  <si>
    <t>26911191801718</t>
  </si>
  <si>
    <t>محمود محمد محمود سيد احمد الشناوي</t>
  </si>
  <si>
    <t>10000657</t>
  </si>
  <si>
    <t>1000281101</t>
  </si>
  <si>
    <t>27604011200049</t>
  </si>
  <si>
    <t>عبير عبد الحميد احمد شهبه</t>
  </si>
  <si>
    <t>10002811</t>
  </si>
  <si>
    <t>1000362801</t>
  </si>
  <si>
    <t>28808302800483</t>
  </si>
  <si>
    <t xml:space="preserve">مها قنديل ابراهيم جاد </t>
  </si>
  <si>
    <t>10003628</t>
  </si>
  <si>
    <t>1000427101</t>
  </si>
  <si>
    <t>27302171301201</t>
  </si>
  <si>
    <t>هيام السيد عبد الرحمن علي</t>
  </si>
  <si>
    <t>10004271</t>
  </si>
  <si>
    <t>1000349201</t>
  </si>
  <si>
    <t>27208190201009</t>
  </si>
  <si>
    <t>شاهندا مجدى عبدالنبي غازى</t>
  </si>
  <si>
    <t>10003492</t>
  </si>
  <si>
    <t>1000232602</t>
  </si>
  <si>
    <t>28909240202194</t>
  </si>
  <si>
    <t xml:space="preserve"> عمرو يوسف حمدالله الديب </t>
  </si>
  <si>
    <t>10002326</t>
  </si>
  <si>
    <t>1000258301</t>
  </si>
  <si>
    <t>28411232700233</t>
  </si>
  <si>
    <t xml:space="preserve">حماده احمدالسعدي يوسف محمد </t>
  </si>
  <si>
    <t>10002583</t>
  </si>
  <si>
    <t>1000405305</t>
  </si>
  <si>
    <t>28011290100353</t>
  </si>
  <si>
    <t xml:space="preserve">شريف شفيق جمال الدين خطاب </t>
  </si>
  <si>
    <t>10004053</t>
  </si>
  <si>
    <t>1000298301</t>
  </si>
  <si>
    <t>28510010124526</t>
  </si>
  <si>
    <t>كريمه عزت امين حسن جوزه</t>
  </si>
  <si>
    <t>10002983</t>
  </si>
  <si>
    <t>1000864902</t>
  </si>
  <si>
    <t>28207010107082</t>
  </si>
  <si>
    <t xml:space="preserve">هبة عطية ابو نايل محمد نايل </t>
  </si>
  <si>
    <t>10008649</t>
  </si>
  <si>
    <t>1000016702</t>
  </si>
  <si>
    <t>27401011100569</t>
  </si>
  <si>
    <t>جيهان عيسي السيد الفيومي</t>
  </si>
  <si>
    <t>10000167</t>
  </si>
  <si>
    <t>1000063401</t>
  </si>
  <si>
    <t>26911171500878</t>
  </si>
  <si>
    <t>محمد عبدالمعطي الصاوي صبح</t>
  </si>
  <si>
    <t>10000634</t>
  </si>
  <si>
    <t>1000637901</t>
  </si>
  <si>
    <t>27410040100917</t>
  </si>
  <si>
    <t>سيد عبدالرؤوف محمد السيد</t>
  </si>
  <si>
    <t>10006379</t>
  </si>
  <si>
    <t>1000251202</t>
  </si>
  <si>
    <t>29012060100435</t>
  </si>
  <si>
    <t xml:space="preserve">اسلام محمد عبدالعزيز عطيه </t>
  </si>
  <si>
    <t>10002512</t>
  </si>
  <si>
    <t>1000095901</t>
  </si>
  <si>
    <t>27303061100363</t>
  </si>
  <si>
    <t>نجلاء نصرالدين عبدالسلام فراج</t>
  </si>
  <si>
    <t>10000959</t>
  </si>
  <si>
    <t>1000720701</t>
  </si>
  <si>
    <t>30007300100235</t>
  </si>
  <si>
    <t xml:space="preserve">مصطفي محمود عبدالعزيز عبدالله </t>
  </si>
  <si>
    <t>10007207</t>
  </si>
  <si>
    <t>1000365301</t>
  </si>
  <si>
    <t>28007070103516</t>
  </si>
  <si>
    <t>محمود محمد شريف صالح</t>
  </si>
  <si>
    <t>10003653</t>
  </si>
  <si>
    <t>1000431502</t>
  </si>
  <si>
    <t>1000432902</t>
  </si>
  <si>
    <t>1000363101</t>
  </si>
  <si>
    <t>28408021202201</t>
  </si>
  <si>
    <t>دعاء محمد محمد الدرينى تويج</t>
  </si>
  <si>
    <t>10003631</t>
  </si>
  <si>
    <t>1000208301</t>
  </si>
  <si>
    <t>28010141500342</t>
  </si>
  <si>
    <t>نهله عبدالعزيز رزق الرمادى</t>
  </si>
  <si>
    <t>10002083</t>
  </si>
  <si>
    <t>1000188001</t>
  </si>
  <si>
    <t>27805210201688</t>
  </si>
  <si>
    <t xml:space="preserve">ماجدة مخلوف عبدالحليم محمد </t>
  </si>
  <si>
    <t>10001880</t>
  </si>
  <si>
    <t>1000775101</t>
  </si>
  <si>
    <t>28103062301502</t>
  </si>
  <si>
    <t>رشا السيد أحمد السيد الحصري</t>
  </si>
  <si>
    <t>10007751</t>
  </si>
  <si>
    <t>1000032303</t>
  </si>
  <si>
    <t>1000213101</t>
  </si>
  <si>
    <t>27604011101016</t>
  </si>
  <si>
    <t>محمد عبد القادر عطيه جرون</t>
  </si>
  <si>
    <t>10002131</t>
  </si>
  <si>
    <t>1000105101</t>
  </si>
  <si>
    <t>27810240400298</t>
  </si>
  <si>
    <t>احمد ابراهيم حسن حسين مهيا</t>
  </si>
  <si>
    <t>10001051</t>
  </si>
  <si>
    <t>1000305801</t>
  </si>
  <si>
    <t>29108031800069</t>
  </si>
  <si>
    <t>ايمان حنفي محمود حبليزه</t>
  </si>
  <si>
    <t>10003058</t>
  </si>
  <si>
    <t>1000793102</t>
  </si>
  <si>
    <t>27406060103362</t>
  </si>
  <si>
    <t xml:space="preserve">منى محمد محمد حسين </t>
  </si>
  <si>
    <t>10007931</t>
  </si>
  <si>
    <t>1000208901</t>
  </si>
  <si>
    <t>29005281601688</t>
  </si>
  <si>
    <t>نظيره محمد عبد الحليم حسن</t>
  </si>
  <si>
    <t>10002089</t>
  </si>
  <si>
    <t>1000490401</t>
  </si>
  <si>
    <t>27510250203314</t>
  </si>
  <si>
    <t>وليد عبده احمد محمد</t>
  </si>
  <si>
    <t>10004904</t>
  </si>
  <si>
    <t>1000653401</t>
  </si>
  <si>
    <t>26801010204594</t>
  </si>
  <si>
    <t>إيهاب فوزى محمد محمود</t>
  </si>
  <si>
    <t>10006534</t>
  </si>
  <si>
    <t>1000313501</t>
  </si>
  <si>
    <t>27808052602873</t>
  </si>
  <si>
    <t xml:space="preserve">احمد علي احمد ابراهيم </t>
  </si>
  <si>
    <t>10003135</t>
  </si>
  <si>
    <t>1000305601</t>
  </si>
  <si>
    <t>27803201300654</t>
  </si>
  <si>
    <t xml:space="preserve">محمد ابراهيم محمود متولى </t>
  </si>
  <si>
    <t>10003056</t>
  </si>
  <si>
    <t>1000396201</t>
  </si>
  <si>
    <t>30009300101714</t>
  </si>
  <si>
    <t xml:space="preserve">محمد شريف سيد محمود رمضان </t>
  </si>
  <si>
    <t>10003962</t>
  </si>
  <si>
    <t>1000206601</t>
  </si>
  <si>
    <t>28508111501849</t>
  </si>
  <si>
    <t xml:space="preserve"> غاده فؤاد محمد جباره</t>
  </si>
  <si>
    <t>10002066</t>
  </si>
  <si>
    <t>1000064601</t>
  </si>
  <si>
    <t>27804240400158</t>
  </si>
  <si>
    <t>سيد محمد قبيل سيد رسول</t>
  </si>
  <si>
    <t>10000646</t>
  </si>
  <si>
    <t>1000291901</t>
  </si>
  <si>
    <t>27806181200037</t>
  </si>
  <si>
    <t>ياسر محمد محمد حسن</t>
  </si>
  <si>
    <t>10002919</t>
  </si>
  <si>
    <t>1000475701</t>
  </si>
  <si>
    <t>28807280202751</t>
  </si>
  <si>
    <t>ابراهيم جمال ابراهيم عبد القوي جمال الدين</t>
  </si>
  <si>
    <t>10004757</t>
  </si>
  <si>
    <t>1000333001</t>
  </si>
  <si>
    <t>27306080103399</t>
  </si>
  <si>
    <t xml:space="preserve">ايمن حسن محمد السيد </t>
  </si>
  <si>
    <t>10003330</t>
  </si>
  <si>
    <t>1000208701</t>
  </si>
  <si>
    <t>27904121601247</t>
  </si>
  <si>
    <t>صباح عبد الموجود عوض محمد صالح</t>
  </si>
  <si>
    <t>10002087</t>
  </si>
  <si>
    <t>1000482003</t>
  </si>
  <si>
    <t>1000689801</t>
  </si>
  <si>
    <t>27709051100183</t>
  </si>
  <si>
    <t>إيناس محسن علي ابوحديد</t>
  </si>
  <si>
    <t>10006898</t>
  </si>
  <si>
    <t>1000873201</t>
  </si>
  <si>
    <t>28003028800546</t>
  </si>
  <si>
    <t>شيماء علي محمد سيد احمد جريشه</t>
  </si>
  <si>
    <t>10008732</t>
  </si>
  <si>
    <t>1000888102</t>
  </si>
  <si>
    <t>26709231700037</t>
  </si>
  <si>
    <t>محمد على محمد عرفه</t>
  </si>
  <si>
    <t>10008881</t>
  </si>
  <si>
    <t>1000888101</t>
  </si>
  <si>
    <t>1000816001</t>
  </si>
  <si>
    <t>27509098800168</t>
  </si>
  <si>
    <t>معالي كمال عوض مرجان</t>
  </si>
  <si>
    <t>10008160</t>
  </si>
  <si>
    <t>1000224402</t>
  </si>
  <si>
    <t>28103202103609</t>
  </si>
  <si>
    <t>دعاء محمد علي عطيتو اسماعيل</t>
  </si>
  <si>
    <t>10002244</t>
  </si>
  <si>
    <t>1000017701</t>
  </si>
  <si>
    <t>28603280103014</t>
  </si>
  <si>
    <t>أحمد محمود عزت على الزيات</t>
  </si>
  <si>
    <t>10000177</t>
  </si>
  <si>
    <t>1000461301</t>
  </si>
  <si>
    <t>27503122600452</t>
  </si>
  <si>
    <t xml:space="preserve">علاء الدين يوسف السيد عبدالرحمن </t>
  </si>
  <si>
    <t>10004613</t>
  </si>
  <si>
    <t>1000628701</t>
  </si>
  <si>
    <t>1000469501</t>
  </si>
  <si>
    <t>28610181201817</t>
  </si>
  <si>
    <t>احمد مصطفي عبده ابراهيم الحداد</t>
  </si>
  <si>
    <t>10004695</t>
  </si>
  <si>
    <t>1000415903</t>
  </si>
  <si>
    <t>28609052500079</t>
  </si>
  <si>
    <t xml:space="preserve">هشام كمال توفيق عبدالمجيد </t>
  </si>
  <si>
    <t>10004159</t>
  </si>
  <si>
    <t>1000255201</t>
  </si>
  <si>
    <t>27503198800132</t>
  </si>
  <si>
    <t xml:space="preserve">وليد صلاح احمد محمود </t>
  </si>
  <si>
    <t>10002552</t>
  </si>
  <si>
    <t>1000845401</t>
  </si>
  <si>
    <t>1000207501</t>
  </si>
  <si>
    <t>27511092402912</t>
  </si>
  <si>
    <t>جرجس شلبي حنا صليب</t>
  </si>
  <si>
    <t>10002075</t>
  </si>
  <si>
    <t>1000305901</t>
  </si>
  <si>
    <t>28809151804372</t>
  </si>
  <si>
    <t>محمد فكيه احمد محمود شحاته</t>
  </si>
  <si>
    <t>10003059</t>
  </si>
  <si>
    <t>1000382201</t>
  </si>
  <si>
    <t>29209221802875</t>
  </si>
  <si>
    <t>احمد على عبدالمنعم رحال</t>
  </si>
  <si>
    <t>10003822</t>
  </si>
  <si>
    <t>1000320701</t>
  </si>
  <si>
    <t>29805150202571</t>
  </si>
  <si>
    <t xml:space="preserve">نور ابراهيم عبد العزيز امام عبدالله </t>
  </si>
  <si>
    <t>10003207</t>
  </si>
  <si>
    <t>1000329501</t>
  </si>
  <si>
    <t>28609011617042</t>
  </si>
  <si>
    <t>نهاد عزت عبد الحليم العزب دراج</t>
  </si>
  <si>
    <t>10003295</t>
  </si>
  <si>
    <t>1000288503</t>
  </si>
  <si>
    <t>1000718501</t>
  </si>
  <si>
    <t>29306141100093</t>
  </si>
  <si>
    <t xml:space="preserve">محمد حسام الدين رجب النوسانى </t>
  </si>
  <si>
    <t>10007185</t>
  </si>
  <si>
    <t>1000073602</t>
  </si>
  <si>
    <t>28603140400132</t>
  </si>
  <si>
    <t xml:space="preserve">محمد جلال الحفناوي مصطفي </t>
  </si>
  <si>
    <t>10000736</t>
  </si>
  <si>
    <t>1000692702</t>
  </si>
  <si>
    <t>28002090200532</t>
  </si>
  <si>
    <t xml:space="preserve">اسلام مسعد حنفى محمود </t>
  </si>
  <si>
    <t>10006927</t>
  </si>
  <si>
    <t>1000429301</t>
  </si>
  <si>
    <t>27411272200337</t>
  </si>
  <si>
    <t xml:space="preserve">حجاج عبدالله علي وهيب </t>
  </si>
  <si>
    <t>10004293</t>
  </si>
  <si>
    <t>1000457501</t>
  </si>
  <si>
    <t>28511020200821</t>
  </si>
  <si>
    <t>ندى محمد علي حسن محمد</t>
  </si>
  <si>
    <t>10004575</t>
  </si>
  <si>
    <t>1000180502</t>
  </si>
  <si>
    <t>27607140104055</t>
  </si>
  <si>
    <t>محمد سلطان حنفى ابو العلا</t>
  </si>
  <si>
    <t>10001805</t>
  </si>
  <si>
    <t>1000432801</t>
  </si>
  <si>
    <t>27502152603883</t>
  </si>
  <si>
    <t>امال محمود احمد على</t>
  </si>
  <si>
    <t>10004328</t>
  </si>
  <si>
    <t>1000151601</t>
  </si>
  <si>
    <t>28509011414031</t>
  </si>
  <si>
    <t xml:space="preserve">احمد عبدالله عيد عمر </t>
  </si>
  <si>
    <t>10001516</t>
  </si>
  <si>
    <t>1000389501</t>
  </si>
  <si>
    <t>27712202801015</t>
  </si>
  <si>
    <t xml:space="preserve">احمد محمد السيد عبدالغني احمد </t>
  </si>
  <si>
    <t>10003895</t>
  </si>
  <si>
    <t>1000699901</t>
  </si>
  <si>
    <t>29304170102124</t>
  </si>
  <si>
    <t xml:space="preserve">نورهان محمد حسن خميس </t>
  </si>
  <si>
    <t>10006999</t>
  </si>
  <si>
    <t>1000205701</t>
  </si>
  <si>
    <t>28702141600052</t>
  </si>
  <si>
    <t>اسلام محمد منير محمد رشاد بيبرس</t>
  </si>
  <si>
    <t>10002057</t>
  </si>
  <si>
    <t>1000352301</t>
  </si>
  <si>
    <t>29201051201757</t>
  </si>
  <si>
    <t>محمد شوقي محمد الدماصي</t>
  </si>
  <si>
    <t>10003523</t>
  </si>
  <si>
    <t>1000458601</t>
  </si>
  <si>
    <t>30005171600991</t>
  </si>
  <si>
    <t>مصطفى طارق إبراهيم توفيق عبد المعطي</t>
  </si>
  <si>
    <t>10004586</t>
  </si>
  <si>
    <t>1000696201</t>
  </si>
  <si>
    <t>26807302500877</t>
  </si>
  <si>
    <t xml:space="preserve">مصطفي عبدالحميد مبارك حسين </t>
  </si>
  <si>
    <t>10006962</t>
  </si>
  <si>
    <t>1000846601</t>
  </si>
  <si>
    <t>27211291302583</t>
  </si>
  <si>
    <t>اعتماد السيد ابراهيم الهادي</t>
  </si>
  <si>
    <t>10008466</t>
  </si>
  <si>
    <t>1000298601</t>
  </si>
  <si>
    <t>27212171400715</t>
  </si>
  <si>
    <t>الصادق محمد جلال محمد احمد سليم</t>
  </si>
  <si>
    <t>10002986</t>
  </si>
  <si>
    <t>1000274301</t>
  </si>
  <si>
    <t>26901012606791</t>
  </si>
  <si>
    <t>احمد يوسف احمد محمد</t>
  </si>
  <si>
    <t>10002743</t>
  </si>
  <si>
    <t>1000364301</t>
  </si>
  <si>
    <t>29110011416194</t>
  </si>
  <si>
    <t xml:space="preserve">احمد محمد رضا محمود عزالدين </t>
  </si>
  <si>
    <t>10003643</t>
  </si>
  <si>
    <t>1000252901</t>
  </si>
  <si>
    <t>27901041301065</t>
  </si>
  <si>
    <t>عبير عبد المنعم متولي علي</t>
  </si>
  <si>
    <t>10002529</t>
  </si>
  <si>
    <t>1000450801</t>
  </si>
  <si>
    <t>28106120201351</t>
  </si>
  <si>
    <t>ايمن حامد عبدالجليل عبدالله</t>
  </si>
  <si>
    <t>10004508</t>
  </si>
  <si>
    <t>1000287201</t>
  </si>
  <si>
    <t>28007302501734</t>
  </si>
  <si>
    <t>قاسم محروس حسنين قاسم</t>
  </si>
  <si>
    <t>10002872</t>
  </si>
  <si>
    <t>1000232601</t>
  </si>
  <si>
    <t>1000064401</t>
  </si>
  <si>
    <t>27903130102532</t>
  </si>
  <si>
    <t xml:space="preserve">نادر احمد على طه الجمل </t>
  </si>
  <si>
    <t>10000644</t>
  </si>
  <si>
    <t>1000125701</t>
  </si>
  <si>
    <t>26808272101715</t>
  </si>
  <si>
    <t xml:space="preserve">هشام شوقي عبداللطيف عبدالوهاب </t>
  </si>
  <si>
    <t>10001257</t>
  </si>
  <si>
    <t>1000161201</t>
  </si>
  <si>
    <t>28803232102137</t>
  </si>
  <si>
    <t>محمد جمال محمد المغربى فج النور</t>
  </si>
  <si>
    <t>10001612</t>
  </si>
  <si>
    <t>1000032401</t>
  </si>
  <si>
    <t>26810170101511</t>
  </si>
  <si>
    <t>خالد محمد حسن احمد</t>
  </si>
  <si>
    <t>10000324</t>
  </si>
  <si>
    <t>1000298002</t>
  </si>
  <si>
    <t>28806220201287</t>
  </si>
  <si>
    <t xml:space="preserve">خلود عماد حامد عرفه على </t>
  </si>
  <si>
    <t>10002980</t>
  </si>
  <si>
    <t>1000298001</t>
  </si>
  <si>
    <t>1000152701</t>
  </si>
  <si>
    <t>27308131700152</t>
  </si>
  <si>
    <t xml:space="preserve">محمد سعيد متولى خاطر </t>
  </si>
  <si>
    <t>10001527</t>
  </si>
  <si>
    <t>1000169401</t>
  </si>
  <si>
    <t>29009012101038</t>
  </si>
  <si>
    <t>محمود صلاح كامل نافع</t>
  </si>
  <si>
    <t>10001694</t>
  </si>
  <si>
    <t>1000060501</t>
  </si>
  <si>
    <t>28606061600532</t>
  </si>
  <si>
    <t>عبدالغني محمود احمد علي كعبو</t>
  </si>
  <si>
    <t>10000605</t>
  </si>
  <si>
    <t>1000761601</t>
  </si>
  <si>
    <t>29501230200708</t>
  </si>
  <si>
    <t>اسراء هانى عبدالسلام السيد</t>
  </si>
  <si>
    <t>10007616</t>
  </si>
  <si>
    <t>1000083601</t>
  </si>
  <si>
    <t>28206250200938</t>
  </si>
  <si>
    <t>احمد على عبداللطيف ابراهيم</t>
  </si>
  <si>
    <t>10000836</t>
  </si>
  <si>
    <t>1000459102</t>
  </si>
  <si>
    <t>29404182400397</t>
  </si>
  <si>
    <t>دافيد مراد خلف ساويرس</t>
  </si>
  <si>
    <t>10004591</t>
  </si>
  <si>
    <t>1000861101</t>
  </si>
  <si>
    <t>27801100200591</t>
  </si>
  <si>
    <t xml:space="preserve"> احمد حمدي محمد احمد </t>
  </si>
  <si>
    <t>10008611</t>
  </si>
  <si>
    <t>1000874001</t>
  </si>
  <si>
    <t>28601012302788</t>
  </si>
  <si>
    <t>هبه محمد عزت حنفي عطية</t>
  </si>
  <si>
    <t>10008740</t>
  </si>
  <si>
    <t>1000575401</t>
  </si>
  <si>
    <t>27702051600491</t>
  </si>
  <si>
    <t>احمد مصطفي احمد النحاس</t>
  </si>
  <si>
    <t>10005754</t>
  </si>
  <si>
    <t>1000521601</t>
  </si>
  <si>
    <t>28010292800739</t>
  </si>
  <si>
    <t>شاذلي السيد علي احمد سنجق</t>
  </si>
  <si>
    <t>10005216</t>
  </si>
  <si>
    <t>1000104801</t>
  </si>
  <si>
    <t>1000431503</t>
  </si>
  <si>
    <t>1000255602</t>
  </si>
  <si>
    <t>28403230101241</t>
  </si>
  <si>
    <t xml:space="preserve">سماح شوكت عبد الراضي محمود </t>
  </si>
  <si>
    <t>10002556</t>
  </si>
  <si>
    <t>1000887801</t>
  </si>
  <si>
    <t>27812150200276</t>
  </si>
  <si>
    <t xml:space="preserve">محمد محمود خليل ابراهيم </t>
  </si>
  <si>
    <t>10008878</t>
  </si>
  <si>
    <t>1000405304</t>
  </si>
  <si>
    <t>1000005501</t>
  </si>
  <si>
    <t>27110062400074</t>
  </si>
  <si>
    <t xml:space="preserve">مصطفي عبد الحكيم ابراهيم عثمان </t>
  </si>
  <si>
    <t>10000055</t>
  </si>
  <si>
    <t>1000350801</t>
  </si>
  <si>
    <t>27204151303451</t>
  </si>
  <si>
    <t>محمد عبد المقصود احمد عبد الرحمن</t>
  </si>
  <si>
    <t>10003508</t>
  </si>
  <si>
    <t>1000211001</t>
  </si>
  <si>
    <t>28311112100068</t>
  </si>
  <si>
    <t xml:space="preserve">شيماء رجب هاشم رجب محمد الجابري </t>
  </si>
  <si>
    <t>10002110</t>
  </si>
  <si>
    <t>1000569401</t>
  </si>
  <si>
    <t>27701310200859</t>
  </si>
  <si>
    <t xml:space="preserve">تامر لزمي خليل معوض </t>
  </si>
  <si>
    <t>10005694</t>
  </si>
  <si>
    <t>1000775401</t>
  </si>
  <si>
    <t>27309081600077</t>
  </si>
  <si>
    <t xml:space="preserve">وليد ابراهيم حسن ابراهيم عماره </t>
  </si>
  <si>
    <t>10007754</t>
  </si>
  <si>
    <t>1000877501</t>
  </si>
  <si>
    <t>28707300300202</t>
  </si>
  <si>
    <t>رانا محمد محمد محمد يوسف</t>
  </si>
  <si>
    <t>10008775</t>
  </si>
  <si>
    <t>1000364302</t>
  </si>
  <si>
    <t>1000240401</t>
  </si>
  <si>
    <t>29010060400401</t>
  </si>
  <si>
    <t>عبير حسين محمد علي</t>
  </si>
  <si>
    <t>10002404</t>
  </si>
  <si>
    <t>1000468201</t>
  </si>
  <si>
    <t>28203100201279</t>
  </si>
  <si>
    <t>تكلا بشرى عطاالله سعدالله</t>
  </si>
  <si>
    <t>10004682</t>
  </si>
  <si>
    <t>1000219601</t>
  </si>
  <si>
    <t>30104141403197</t>
  </si>
  <si>
    <t>احمد محمد فرج امام حسان</t>
  </si>
  <si>
    <t>10002196</t>
  </si>
  <si>
    <t>1000482002</t>
  </si>
  <si>
    <t>1000482001</t>
  </si>
  <si>
    <t>1000251401</t>
  </si>
  <si>
    <t>27008032300203</t>
  </si>
  <si>
    <t xml:space="preserve">جيهان سامى محمد لبيب صالح </t>
  </si>
  <si>
    <t>10002514</t>
  </si>
  <si>
    <t>1000683606</t>
  </si>
  <si>
    <t>28405051203629</t>
  </si>
  <si>
    <t>هنيه محمد احمد محمد خليل</t>
  </si>
  <si>
    <t>10006836</t>
  </si>
  <si>
    <t>1000132701</t>
  </si>
  <si>
    <t>28903012104982</t>
  </si>
  <si>
    <t>ايه ابراهيم حمدي ابراهيم</t>
  </si>
  <si>
    <t>10001327</t>
  </si>
  <si>
    <t>1000405301</t>
  </si>
  <si>
    <t>1000404603</t>
  </si>
  <si>
    <t>27411140103855</t>
  </si>
  <si>
    <t>علاء انصاري احمد زيدان</t>
  </si>
  <si>
    <t>10004046</t>
  </si>
  <si>
    <t>1000483501</t>
  </si>
  <si>
    <t>29910060101677</t>
  </si>
  <si>
    <t>محمد علاء أمام عجمي رفاعى</t>
  </si>
  <si>
    <t>10004835</t>
  </si>
  <si>
    <t>1000405302</t>
  </si>
  <si>
    <t>1000520001</t>
  </si>
  <si>
    <t>27801050102577</t>
  </si>
  <si>
    <t xml:space="preserve">احمد نبيه السيد علي </t>
  </si>
  <si>
    <t>10005200</t>
  </si>
  <si>
    <t>1000441801</t>
  </si>
  <si>
    <t>28201192602701</t>
  </si>
  <si>
    <t xml:space="preserve">ليلي عبدالعاطي احمد محمد </t>
  </si>
  <si>
    <t>10004418</t>
  </si>
  <si>
    <t>1000032302</t>
  </si>
  <si>
    <t>1000448801</t>
  </si>
  <si>
    <t>29104021800502</t>
  </si>
  <si>
    <t xml:space="preserve">هناء مصطفى عبدالحميد رجب سالم </t>
  </si>
  <si>
    <t>10004488</t>
  </si>
  <si>
    <t>1000001802</t>
  </si>
  <si>
    <t>29010011601141</t>
  </si>
  <si>
    <t xml:space="preserve">مني يسري محمد محمد صقر </t>
  </si>
  <si>
    <t>10000018</t>
  </si>
  <si>
    <t>1000385001</t>
  </si>
  <si>
    <t>28205221600173</t>
  </si>
  <si>
    <t>خضر السيد خضر حسين خضر</t>
  </si>
  <si>
    <t>10003850</t>
  </si>
  <si>
    <t>1000200701</t>
  </si>
  <si>
    <t>28606011606858</t>
  </si>
  <si>
    <t>احمد جمال رجب سلامه</t>
  </si>
  <si>
    <t>10002007</t>
  </si>
  <si>
    <t>1000692102</t>
  </si>
  <si>
    <t>26808220200413</t>
  </si>
  <si>
    <t xml:space="preserve">ايمن مسعد حنفى محمود </t>
  </si>
  <si>
    <t>10006921</t>
  </si>
  <si>
    <t>1000295601</t>
  </si>
  <si>
    <t>26903050100624</t>
  </si>
  <si>
    <t>سحر فؤاد محمد فهيم</t>
  </si>
  <si>
    <t>10002956</t>
  </si>
  <si>
    <t>1000456301</t>
  </si>
  <si>
    <t>28310151300426</t>
  </si>
  <si>
    <t xml:space="preserve">هبه السيد عمر اسماعيل محمد </t>
  </si>
  <si>
    <t>10004563</t>
  </si>
  <si>
    <t>1000421301</t>
  </si>
  <si>
    <t>27807302400922</t>
  </si>
  <si>
    <t xml:space="preserve">ساره جلال الدين عباس احمد </t>
  </si>
  <si>
    <t>10004213</t>
  </si>
  <si>
    <t>1000635701</t>
  </si>
  <si>
    <t>28804050202698</t>
  </si>
  <si>
    <t xml:space="preserve">محمد سامي محمد ابراهيم </t>
  </si>
  <si>
    <t>10006357</t>
  </si>
  <si>
    <t>1000838001</t>
  </si>
  <si>
    <t>29406011503506</t>
  </si>
  <si>
    <t>عواطف عبدالحكيم السعيد ابراهيم القصبي</t>
  </si>
  <si>
    <t>10008380</t>
  </si>
  <si>
    <t>1000459101</t>
  </si>
  <si>
    <t>1000888201</t>
  </si>
  <si>
    <t>28601061401007</t>
  </si>
  <si>
    <t>اميره خيرى عبد الله راتب</t>
  </si>
  <si>
    <t>10008882</t>
  </si>
  <si>
    <t>1000581501</t>
  </si>
  <si>
    <t>28301010123599</t>
  </si>
  <si>
    <t>تامر عبدالله عبدالباري جاد</t>
  </si>
  <si>
    <t>10005815</t>
  </si>
  <si>
    <t>1000371201</t>
  </si>
  <si>
    <t>27411230200396</t>
  </si>
  <si>
    <t xml:space="preserve">وليد محمد عبداللطيف محمد </t>
  </si>
  <si>
    <t>10003712</t>
  </si>
  <si>
    <t>1000072301</t>
  </si>
  <si>
    <t>27610280103271</t>
  </si>
  <si>
    <t>محمد احمد مندوره السيد</t>
  </si>
  <si>
    <t>10000723</t>
  </si>
  <si>
    <t>1000878501</t>
  </si>
  <si>
    <t>26904162101581</t>
  </si>
  <si>
    <t xml:space="preserve">نادية احمد على حسين </t>
  </si>
  <si>
    <t>10008785</t>
  </si>
  <si>
    <t>1000253503</t>
  </si>
  <si>
    <t>29209120300259</t>
  </si>
  <si>
    <t xml:space="preserve">اسلام نصر قطب علي مرسي </t>
  </si>
  <si>
    <t>10002535</t>
  </si>
  <si>
    <t>1000786501</t>
  </si>
  <si>
    <t>28101130103436</t>
  </si>
  <si>
    <t xml:space="preserve">احمد ايهاب ابو العباس عبد القادر </t>
  </si>
  <si>
    <t>10007865</t>
  </si>
  <si>
    <t>1000699903</t>
  </si>
  <si>
    <t>1000014106</t>
  </si>
  <si>
    <t>1000033402</t>
  </si>
  <si>
    <t>1000013701</t>
  </si>
  <si>
    <t>28301301304035</t>
  </si>
  <si>
    <t xml:space="preserve">علي عبد الله محسوب عبد الله </t>
  </si>
  <si>
    <t>10000137</t>
  </si>
  <si>
    <t>1000292301</t>
  </si>
  <si>
    <t>29003030300198</t>
  </si>
  <si>
    <t xml:space="preserve">ابراهيم السيد محمد ابو عوض </t>
  </si>
  <si>
    <t>10002923</t>
  </si>
  <si>
    <t>1000683901</t>
  </si>
  <si>
    <t>29603141701792</t>
  </si>
  <si>
    <t>احمد جلال عبده العموري</t>
  </si>
  <si>
    <t>10006839</t>
  </si>
  <si>
    <t>1000404602</t>
  </si>
  <si>
    <t>1000159701</t>
  </si>
  <si>
    <t>27907130400229</t>
  </si>
  <si>
    <t>امل محمد زغلول محمد العزازي</t>
  </si>
  <si>
    <t>10001597</t>
  </si>
  <si>
    <t>1000224401</t>
  </si>
  <si>
    <t>1000001801</t>
  </si>
  <si>
    <t>1000255603</t>
  </si>
  <si>
    <t>1000300801</t>
  </si>
  <si>
    <t>29709150102373</t>
  </si>
  <si>
    <t>احمد ياسر حسين احمد</t>
  </si>
  <si>
    <t>10003008</t>
  </si>
  <si>
    <t>1000014105</t>
  </si>
  <si>
    <t>1000530101</t>
  </si>
  <si>
    <t>29609011204051</t>
  </si>
  <si>
    <t>احمد السيد الحمادي السيد سالم</t>
  </si>
  <si>
    <t>10005301</t>
  </si>
  <si>
    <t>1000197102</t>
  </si>
  <si>
    <t>1000119002</t>
  </si>
  <si>
    <t>27812290104153</t>
  </si>
  <si>
    <t>احمد اسماعيل عبدالعزيز فتح الباب</t>
  </si>
  <si>
    <t>10001190</t>
  </si>
  <si>
    <t>1000047701</t>
  </si>
  <si>
    <t>27306150200877</t>
  </si>
  <si>
    <t>محمد احمد محمد على</t>
  </si>
  <si>
    <t>10000477</t>
  </si>
  <si>
    <t>1000372001</t>
  </si>
  <si>
    <t>30109250201148</t>
  </si>
  <si>
    <t>اسماء مصطفى فتح الله عبد السميع</t>
  </si>
  <si>
    <t>10003720</t>
  </si>
  <si>
    <t>1000119001</t>
  </si>
  <si>
    <t>1000590301</t>
  </si>
  <si>
    <t>28110140100612</t>
  </si>
  <si>
    <t>عاطف محمد محمد عبدالرحمن</t>
  </si>
  <si>
    <t>10005903</t>
  </si>
  <si>
    <t>1000303601</t>
  </si>
  <si>
    <t>29406190104015</t>
  </si>
  <si>
    <t>مصطفى هشام كامل عطيه</t>
  </si>
  <si>
    <t>10003036</t>
  </si>
  <si>
    <t>1000407101</t>
  </si>
  <si>
    <t>29411251300444</t>
  </si>
  <si>
    <t xml:space="preserve">ندى طارق احمد فؤاد احمد </t>
  </si>
  <si>
    <t>10004071</t>
  </si>
  <si>
    <t>1000670302</t>
  </si>
  <si>
    <t>29410240202878</t>
  </si>
  <si>
    <t>احمد محمد خليل محمد خليل</t>
  </si>
  <si>
    <t>10006703</t>
  </si>
  <si>
    <t>1000301401</t>
  </si>
  <si>
    <t>27710261700076</t>
  </si>
  <si>
    <t>ايمن احمد عزت حامد عميره</t>
  </si>
  <si>
    <t>10003014</t>
  </si>
  <si>
    <t>1000404601</t>
  </si>
  <si>
    <t>1000180501</t>
  </si>
  <si>
    <t>1000586902</t>
  </si>
  <si>
    <t>27710140100501</t>
  </si>
  <si>
    <t>بثينه ادفاوى دياب عثمان</t>
  </si>
  <si>
    <t>10005869</t>
  </si>
  <si>
    <t>1000450802</t>
  </si>
  <si>
    <t>1000867503</t>
  </si>
  <si>
    <t>1000632701</t>
  </si>
  <si>
    <t>28609240300206</t>
  </si>
  <si>
    <t>ساره السيد محمد محمد باغة</t>
  </si>
  <si>
    <t>10006327</t>
  </si>
  <si>
    <t>1000268802</t>
  </si>
  <si>
    <t>29109140200779</t>
  </si>
  <si>
    <t>محمد السعيدانورمحمد زيتون</t>
  </si>
  <si>
    <t>10002688</t>
  </si>
  <si>
    <t>1000144402</t>
  </si>
  <si>
    <t>1000131201</t>
  </si>
  <si>
    <t>28301112103347</t>
  </si>
  <si>
    <t>هند فواز ابوالوفا حسن</t>
  </si>
  <si>
    <t>10001312</t>
  </si>
  <si>
    <t>1000124701</t>
  </si>
  <si>
    <t>28504112201185</t>
  </si>
  <si>
    <t>اميمه علي حسن حسين</t>
  </si>
  <si>
    <t>10001247</t>
  </si>
  <si>
    <t>1000699902</t>
  </si>
  <si>
    <t>1000937502</t>
  </si>
  <si>
    <t>1000789502</t>
  </si>
  <si>
    <t>28812030300203</t>
  </si>
  <si>
    <t xml:space="preserve">نشوي محمد محمد سليمان الحوت </t>
  </si>
  <si>
    <t>10007895</t>
  </si>
  <si>
    <t>1000014104</t>
  </si>
  <si>
    <t>1000171002</t>
  </si>
  <si>
    <t>28811152103615</t>
  </si>
  <si>
    <t>فرج مختار سعد الدين عرابي</t>
  </si>
  <si>
    <t>10001710</t>
  </si>
  <si>
    <t>1000589701</t>
  </si>
  <si>
    <t>27805200201809</t>
  </si>
  <si>
    <t>مروه محمد السيد امين</t>
  </si>
  <si>
    <t>10005897</t>
  </si>
  <si>
    <t>1000255601</t>
  </si>
  <si>
    <t>1000115802</t>
  </si>
  <si>
    <t>29711220104047</t>
  </si>
  <si>
    <t xml:space="preserve">بسنت ايمن ابراهيم محمد </t>
  </si>
  <si>
    <t>10001158</t>
  </si>
  <si>
    <t>1000207101</t>
  </si>
  <si>
    <t>28809192100045</t>
  </si>
  <si>
    <t xml:space="preserve">غاده محمد عبد المجيد الخولي </t>
  </si>
  <si>
    <t>10002071</t>
  </si>
  <si>
    <t>1000692701</t>
  </si>
  <si>
    <t>1000208902</t>
  </si>
  <si>
    <t>1000415902</t>
  </si>
  <si>
    <t>1000789501</t>
  </si>
  <si>
    <t>1000772301</t>
  </si>
  <si>
    <t>26701281801968</t>
  </si>
  <si>
    <t>زينب فتحي ابراهيم جمعه</t>
  </si>
  <si>
    <t>10007723</t>
  </si>
  <si>
    <t>1000032304</t>
  </si>
  <si>
    <t>1000224404</t>
  </si>
  <si>
    <t>1000178001</t>
  </si>
  <si>
    <t>28312170200648</t>
  </si>
  <si>
    <t>الشيماء محمد احمد عبدالرحمن حسن</t>
  </si>
  <si>
    <t>10001780</t>
  </si>
  <si>
    <t>1000771501</t>
  </si>
  <si>
    <t>28705152400038</t>
  </si>
  <si>
    <t>احمد سعد حسين سعد</t>
  </si>
  <si>
    <t>10007715</t>
  </si>
  <si>
    <t>1000867501</t>
  </si>
  <si>
    <t>1000224403</t>
  </si>
  <si>
    <t>1000874201</t>
  </si>
  <si>
    <t>28309201403754</t>
  </si>
  <si>
    <t xml:space="preserve">محمود موسى محمود موسى جبر </t>
  </si>
  <si>
    <t>10008742</t>
  </si>
  <si>
    <t>1000821202</t>
  </si>
  <si>
    <t>26707012603112</t>
  </si>
  <si>
    <t xml:space="preserve">عمرو سعيد محمد عبدالمنعم </t>
  </si>
  <si>
    <t>10008212</t>
  </si>
  <si>
    <t>1000288502</t>
  </si>
  <si>
    <t>1000628704</t>
  </si>
  <si>
    <t>1000415901</t>
  </si>
  <si>
    <t>1000503601</t>
  </si>
  <si>
    <t>28704041802653</t>
  </si>
  <si>
    <t xml:space="preserve">مينا عطيه شنوده سلامه </t>
  </si>
  <si>
    <t>10005036</t>
  </si>
  <si>
    <t>1000280901</t>
  </si>
  <si>
    <t>28509270103885</t>
  </si>
  <si>
    <t>دينا حسن محمد مصطفي</t>
  </si>
  <si>
    <t>10002809</t>
  </si>
  <si>
    <t>1000604601</t>
  </si>
  <si>
    <t>28512082103321</t>
  </si>
  <si>
    <t xml:space="preserve">ياسمين محمد سعيد عطيه إبراهيم </t>
  </si>
  <si>
    <t>10006046</t>
  </si>
  <si>
    <t>1000224405</t>
  </si>
  <si>
    <t>1000678101</t>
  </si>
  <si>
    <t>29708140202616</t>
  </si>
  <si>
    <t>أحمد ابراهيم أحمد ابراهيم</t>
  </si>
  <si>
    <t>10006781</t>
  </si>
  <si>
    <t>1000048201</t>
  </si>
  <si>
    <t>1000129201</t>
  </si>
  <si>
    <t>29701271500456</t>
  </si>
  <si>
    <t xml:space="preserve">فوزى صبرى مصطفى محمد اللمونى </t>
  </si>
  <si>
    <t>10001292</t>
  </si>
  <si>
    <t>1000692101</t>
  </si>
  <si>
    <t>1000001803</t>
  </si>
  <si>
    <t>1000587101</t>
  </si>
  <si>
    <t>28604140102936</t>
  </si>
  <si>
    <t>محمد مجدى سيد أحمد محمد</t>
  </si>
  <si>
    <t>10005871</t>
  </si>
  <si>
    <t>1000405303</t>
  </si>
  <si>
    <t>1000253501</t>
  </si>
  <si>
    <t>1000001805</t>
  </si>
  <si>
    <t>1000251201</t>
  </si>
  <si>
    <t>1000004201</t>
  </si>
  <si>
    <t>28511042102555</t>
  </si>
  <si>
    <t xml:space="preserve">شريف عبدالمنعم محمود محمد </t>
  </si>
  <si>
    <t>10000042</t>
  </si>
  <si>
    <t>1000595101</t>
  </si>
  <si>
    <t>27807130201949</t>
  </si>
  <si>
    <t>هدى محمد محمد حسين عفيفى</t>
  </si>
  <si>
    <t>10005951</t>
  </si>
  <si>
    <t>1000771502</t>
  </si>
  <si>
    <t>1000633901</t>
  </si>
  <si>
    <t>29610011826191</t>
  </si>
  <si>
    <t>محمد اشرف محمد شبير</t>
  </si>
  <si>
    <t>10006339</t>
  </si>
  <si>
    <t>1000193001</t>
  </si>
  <si>
    <t>27510050300056</t>
  </si>
  <si>
    <t xml:space="preserve">رامي احمد عبده بركات </t>
  </si>
  <si>
    <t>10001930</t>
  </si>
  <si>
    <t>1000220401</t>
  </si>
  <si>
    <t>27608071701191</t>
  </si>
  <si>
    <t>اشرف محمد رفعت امام شعيب</t>
  </si>
  <si>
    <t>10002204</t>
  </si>
  <si>
    <t>1000643802</t>
  </si>
  <si>
    <t>28406220201076</t>
  </si>
  <si>
    <t xml:space="preserve">أحمد محمد محمد محمد </t>
  </si>
  <si>
    <t>10006438</t>
  </si>
  <si>
    <t>1000253502</t>
  </si>
  <si>
    <t>1000587102</t>
  </si>
  <si>
    <t>1000255605</t>
  </si>
  <si>
    <t>1000047702</t>
  </si>
  <si>
    <t>1000276701</t>
  </si>
  <si>
    <t>27412151600288</t>
  </si>
  <si>
    <t>سهام فتحي حسن المظالي</t>
  </si>
  <si>
    <t>10002767</t>
  </si>
  <si>
    <t>1000268801</t>
  </si>
  <si>
    <t>1000115801</t>
  </si>
  <si>
    <t>1000219401</t>
  </si>
  <si>
    <t>30201260100084</t>
  </si>
  <si>
    <t xml:space="preserve">مريم ياسر حسن محمد حسن </t>
  </si>
  <si>
    <t>10002194</t>
  </si>
  <si>
    <t>1000864901</t>
  </si>
  <si>
    <t>1000255604</t>
  </si>
  <si>
    <t>1000589402</t>
  </si>
  <si>
    <t>29901050200783</t>
  </si>
  <si>
    <t xml:space="preserve">ايه علاء احمد مهدي بكر </t>
  </si>
  <si>
    <t>10005894</t>
  </si>
  <si>
    <t>1000256501</t>
  </si>
  <si>
    <t>29705291700104</t>
  </si>
  <si>
    <t>دنيا طارق فرج الكرداس</t>
  </si>
  <si>
    <t>10002565</t>
  </si>
  <si>
    <t>1000391901</t>
  </si>
  <si>
    <t>29907271602043</t>
  </si>
  <si>
    <t xml:space="preserve">بسمه محمد رمضان شبل شحاته </t>
  </si>
  <si>
    <t>10003919</t>
  </si>
  <si>
    <t>1000296901</t>
  </si>
  <si>
    <t>28506251703279</t>
  </si>
  <si>
    <t xml:space="preserve">عبدربه فؤاد عبدربه مصطفى </t>
  </si>
  <si>
    <t>10002969</t>
  </si>
  <si>
    <t>1000864101</t>
  </si>
  <si>
    <t>27803131400729</t>
  </si>
  <si>
    <t>علا علي عبد الحفيظ حسن</t>
  </si>
  <si>
    <t>10008641</t>
  </si>
  <si>
    <t>1000001804</t>
  </si>
  <si>
    <t>1000193002</t>
  </si>
  <si>
    <t>1000608201</t>
  </si>
  <si>
    <t>28501010122681</t>
  </si>
  <si>
    <t>ايمان عادل عبدالعزيز احمد</t>
  </si>
  <si>
    <t>10006082</t>
  </si>
  <si>
    <t>1000726501</t>
  </si>
  <si>
    <t>1000032301</t>
  </si>
  <si>
    <t>1000029801</t>
  </si>
  <si>
    <t>1000726503</t>
  </si>
  <si>
    <t>1000301402</t>
  </si>
  <si>
    <t>1000407102</t>
  </si>
  <si>
    <t>1000657701</t>
  </si>
  <si>
    <t>26604151600086</t>
  </si>
  <si>
    <t>حنان ابراهيم محمد السيد</t>
  </si>
  <si>
    <t>10006577</t>
  </si>
  <si>
    <t>1000303602</t>
  </si>
  <si>
    <t>1000877503</t>
  </si>
  <si>
    <t>1000814101</t>
  </si>
  <si>
    <t>26811130200253</t>
  </si>
  <si>
    <t xml:space="preserve">طارق عجمى محمد حسن </t>
  </si>
  <si>
    <t>10008141</t>
  </si>
  <si>
    <t>1000661402</t>
  </si>
  <si>
    <t>27410110102131</t>
  </si>
  <si>
    <t>اسماعيل محمد اسماعيل فارس</t>
  </si>
  <si>
    <t>10006614</t>
  </si>
  <si>
    <t>1000619801</t>
  </si>
  <si>
    <t>28012010203451</t>
  </si>
  <si>
    <t>محمود عبد الفتاح عبد الحميد حسن</t>
  </si>
  <si>
    <t>10006198</t>
  </si>
  <si>
    <t>1000589401</t>
  </si>
  <si>
    <t>1000814102</t>
  </si>
  <si>
    <t>1000182101</t>
  </si>
  <si>
    <t>27708112401622</t>
  </si>
  <si>
    <t xml:space="preserve">رباب ماهر محمد ابراهيم </t>
  </si>
  <si>
    <t>10001821</t>
  </si>
  <si>
    <t>1000171001</t>
  </si>
  <si>
    <t>1000269103</t>
  </si>
  <si>
    <t>30106090103064</t>
  </si>
  <si>
    <t xml:space="preserve">فرحه اشرف فوزي عبدالعاطي </t>
  </si>
  <si>
    <t>10002691</t>
  </si>
  <si>
    <t>1000707701</t>
  </si>
  <si>
    <t>29810011905804</t>
  </si>
  <si>
    <t xml:space="preserve">نور احمد محمد عبدالله </t>
  </si>
  <si>
    <t>10007077</t>
  </si>
  <si>
    <t>1000278402</t>
  </si>
  <si>
    <t>1000047801</t>
  </si>
  <si>
    <t>1000643801</t>
  </si>
  <si>
    <t>1000303603</t>
  </si>
  <si>
    <t>1000119003</t>
  </si>
  <si>
    <t>1000645401</t>
  </si>
  <si>
    <t>28911250100467</t>
  </si>
  <si>
    <t>سارة سمير محمد السيد</t>
  </si>
  <si>
    <t>10006454</t>
  </si>
  <si>
    <t>1000867902</t>
  </si>
  <si>
    <t>1000683602</t>
  </si>
  <si>
    <t>1000586901</t>
  </si>
  <si>
    <t>1000085902</t>
  </si>
  <si>
    <t>29008051501811</t>
  </si>
  <si>
    <t>احمد ابراهيم محمد علي شحاتة عيسى</t>
  </si>
  <si>
    <t>10000859</t>
  </si>
  <si>
    <t>1000085903</t>
  </si>
  <si>
    <t>1000085901</t>
  </si>
  <si>
    <t>1000218301</t>
  </si>
  <si>
    <t>27710011900941</t>
  </si>
  <si>
    <t xml:space="preserve">شاهيناز شحاته حسن مصطفي نجم الدين </t>
  </si>
  <si>
    <t>10002183</t>
  </si>
  <si>
    <t>1000269102</t>
  </si>
  <si>
    <t>1000014101</t>
  </si>
  <si>
    <t>1000683605</t>
  </si>
  <si>
    <t>1000739601</t>
  </si>
  <si>
    <t>29911062102634</t>
  </si>
  <si>
    <t xml:space="preserve">حسين رأفت حسين سيد </t>
  </si>
  <si>
    <t>10007396</t>
  </si>
  <si>
    <t>1000016701</t>
  </si>
  <si>
    <t>1000683603</t>
  </si>
  <si>
    <t>1000821201</t>
  </si>
  <si>
    <t>1000115803</t>
  </si>
  <si>
    <t>1000040901</t>
  </si>
  <si>
    <t>29604060101215</t>
  </si>
  <si>
    <t xml:space="preserve">عبدالله جمال نجار عبدالرحيم </t>
  </si>
  <si>
    <t>10000409</t>
  </si>
  <si>
    <t>1000793101</t>
  </si>
  <si>
    <t>1000581801</t>
  </si>
  <si>
    <t>29310010202238</t>
  </si>
  <si>
    <t>محمد إبراهيم إبراهيم شحاته</t>
  </si>
  <si>
    <t>10005818</t>
  </si>
  <si>
    <t>1000645402</t>
  </si>
  <si>
    <t>1000683601</t>
  </si>
  <si>
    <t>1000661401</t>
  </si>
  <si>
    <t>1000171003</t>
  </si>
  <si>
    <t>1000085904</t>
  </si>
  <si>
    <t>1000073601</t>
  </si>
  <si>
    <t>1000734402</t>
  </si>
  <si>
    <t>1000872702</t>
  </si>
  <si>
    <t>1000506101</t>
  </si>
  <si>
    <t>29609270100451</t>
  </si>
  <si>
    <t>سعيد منصور سعيد يونس</t>
  </si>
  <si>
    <t>10005061</t>
  </si>
  <si>
    <t>1000530102</t>
  </si>
  <si>
    <t>1000269101</t>
  </si>
  <si>
    <t>1000683604</t>
  </si>
  <si>
    <t>1000014102</t>
  </si>
  <si>
    <t>Collected</t>
  </si>
  <si>
    <t>Grand Total</t>
  </si>
  <si>
    <t>Partial</t>
  </si>
  <si>
    <t>1 inst</t>
  </si>
  <si>
    <t>2 inst</t>
  </si>
  <si>
    <t>3 inst</t>
  </si>
  <si>
    <t>4 inst</t>
  </si>
  <si>
    <t>5 inst</t>
  </si>
  <si>
    <t>6 inst</t>
  </si>
  <si>
    <t>Collected amount</t>
  </si>
  <si>
    <t>Total Comm</t>
  </si>
  <si>
    <t>Charged-Off</t>
  </si>
  <si>
    <t>Total Collected Amount</t>
  </si>
  <si>
    <t>B1</t>
  </si>
  <si>
    <t>B2</t>
  </si>
  <si>
    <t>B3</t>
  </si>
  <si>
    <t>B4</t>
  </si>
  <si>
    <t>B5</t>
  </si>
  <si>
    <t>B6</t>
  </si>
  <si>
    <t>collector</t>
  </si>
  <si>
    <t>code</t>
  </si>
  <si>
    <t>s.v</t>
  </si>
  <si>
    <t xml:space="preserve">head </t>
  </si>
  <si>
    <t>قيمه</t>
  </si>
  <si>
    <t xml:space="preserve">مريم جابر إسماعيل </t>
  </si>
  <si>
    <t xml:space="preserve">كريمه هانى </t>
  </si>
  <si>
    <t xml:space="preserve">سلمي يونس محمد </t>
  </si>
  <si>
    <t xml:space="preserve">ياسمين محمد رشاد الشحات </t>
  </si>
  <si>
    <t>رحاب عبد الهادى احمد بدوى</t>
  </si>
  <si>
    <t>محمود النادى أبو الحسن احمد</t>
  </si>
  <si>
    <t>Sum of Agency Payment</t>
  </si>
  <si>
    <t>رحاب عبد الهادى احمد بدوى Total</t>
  </si>
  <si>
    <t>محمود النادى أبو الحسن احمد Total</t>
  </si>
  <si>
    <t>وسيلة</t>
  </si>
  <si>
    <t>يعتمد</t>
  </si>
  <si>
    <t>إدارة التحصيل</t>
  </si>
  <si>
    <t>الإدارة المالية</t>
  </si>
  <si>
    <t>Rate</t>
  </si>
  <si>
    <t>العمولة</t>
  </si>
  <si>
    <t>No</t>
  </si>
  <si>
    <t>Tele</t>
  </si>
  <si>
    <t>Active</t>
  </si>
  <si>
    <t>عقود انتاج</t>
  </si>
  <si>
    <t>S.V</t>
  </si>
  <si>
    <t>Head</t>
  </si>
  <si>
    <t>w/O</t>
  </si>
  <si>
    <t>Type</t>
  </si>
  <si>
    <t>W.O</t>
  </si>
  <si>
    <t>Active Total</t>
  </si>
  <si>
    <t>W.O Total</t>
  </si>
  <si>
    <t>الكود</t>
  </si>
  <si>
    <t>الاسم</t>
  </si>
  <si>
    <t>علاء محمد عوض جاد الله</t>
  </si>
  <si>
    <t>وليد عبد الكريم عبد العليم</t>
  </si>
  <si>
    <t>باسم صلاح عبد الله قوشتى</t>
  </si>
  <si>
    <t>عمرو عصام بدر الدين زكي</t>
  </si>
  <si>
    <t>عبد المنعم مجدى عبدربه محمد هلهل</t>
  </si>
  <si>
    <t>سحر اوسامة احمد محمد</t>
  </si>
  <si>
    <t>عبد العزيز صلاح عبد العزيز على حسن</t>
  </si>
  <si>
    <t>رحمة مصطفى خلف الله حسانين</t>
  </si>
  <si>
    <t>محمد مجدى ربيع عبد الغنى جاد</t>
  </si>
  <si>
    <t>مروة مصطفى على جاد</t>
  </si>
  <si>
    <t>محمد مجدى السيد عبد الدايم</t>
  </si>
  <si>
    <t>تريز سامى رزق شحاته</t>
  </si>
  <si>
    <t>ندى محمد سعد محمد</t>
  </si>
  <si>
    <t>حبيبه احمد سلطان منصور عويس</t>
  </si>
  <si>
    <t>ندى محمد محمود عبد المقصود</t>
  </si>
  <si>
    <t>مصطفى جميل عبد الفتاح محمد شاهين</t>
  </si>
  <si>
    <t>زينب محمود محمد محمود صالح</t>
  </si>
  <si>
    <t>نانسى يوسف عزيز يوسف</t>
  </si>
  <si>
    <t>امانى طارق إبراهيم عبد الحميد</t>
  </si>
  <si>
    <t>نادين عماد منصور محمد</t>
  </si>
  <si>
    <t>بهاء محمد السيد صالح أبو حسين</t>
  </si>
  <si>
    <t>هدى حسن السيد على الضوى</t>
  </si>
  <si>
    <t xml:space="preserve">احمد عبد الباسط عبد السلام محمد </t>
  </si>
  <si>
    <t>عمرو على سليم محمد السيد</t>
  </si>
  <si>
    <t>أسماء إبراهيم السيد عبد الله</t>
  </si>
  <si>
    <t xml:space="preserve">احمد مجدى بكر على </t>
  </si>
  <si>
    <t>روان عادل محمد عبد الكريم</t>
  </si>
  <si>
    <t>هبة خلف محمد احمد</t>
  </si>
  <si>
    <t xml:space="preserve">اشرف محمد محروس محمود </t>
  </si>
  <si>
    <t xml:space="preserve">يوسف كامل  عبد الله صبحى غنيم </t>
  </si>
  <si>
    <t xml:space="preserve">محمد احمد محمد احمد </t>
  </si>
  <si>
    <t xml:space="preserve">منار  سيد عثمان احمد </t>
  </si>
  <si>
    <t xml:space="preserve">يارا رمضان يوسف عبده </t>
  </si>
  <si>
    <t xml:space="preserve">هاجر شريف محمد عبد الرؤف </t>
  </si>
  <si>
    <t xml:space="preserve">ملك رمضان يوسف عبده </t>
  </si>
  <si>
    <t>هشام فتح الله عبدربه فرج</t>
  </si>
  <si>
    <t>زياد كرم عبد الفضيل عبد المجيد</t>
  </si>
  <si>
    <t>صبرى عبد الهادى عبد الهادى</t>
  </si>
  <si>
    <t>باسم ناجى سعد ابرهيم خلف</t>
  </si>
  <si>
    <t xml:space="preserve">مى سيد إبراهيم حنفي عقل </t>
  </si>
  <si>
    <t>شوقية محمد عثمان احمد</t>
  </si>
  <si>
    <t xml:space="preserve">إسماعيل سلامه إسماعيل بركات </t>
  </si>
  <si>
    <t>اميرة شعراوى ابراهيم  حامد على</t>
  </si>
  <si>
    <t>منه رضا فتحى سيد</t>
  </si>
  <si>
    <t>كرستينا مجدى محروس فؤاد</t>
  </si>
  <si>
    <t>عبد الحميد نبوى فهيم محمد</t>
  </si>
  <si>
    <t>ادهم رؤوف كمال كامل سعيد</t>
  </si>
  <si>
    <t>مصطفى احمد عبد الهادى محمود</t>
  </si>
  <si>
    <t>محمد احمد ناجز سعيد</t>
  </si>
  <si>
    <t>هدير رمضان مصطفي عبد العال</t>
  </si>
  <si>
    <t>فاطمة محمود سلامة إبراهيم</t>
  </si>
  <si>
    <t>رحمه عاطف احمد علي</t>
  </si>
  <si>
    <t>حبيبه بدر  حنفي محمود</t>
  </si>
  <si>
    <t>ايمان رمضان السعيد مصطفي</t>
  </si>
  <si>
    <t>اسامه محمد احمد عبد الحميد</t>
  </si>
  <si>
    <t>محمود محمد محمود محمد</t>
  </si>
  <si>
    <t>هايدي هشام السيد امام</t>
  </si>
  <si>
    <t>اسلام احمد محمود علي</t>
  </si>
  <si>
    <t>بلال فريد شوقي احمد</t>
  </si>
  <si>
    <t>كريم اشرف فاروق احمد</t>
  </si>
  <si>
    <t>شريهان كمال شفيق حسب الله</t>
  </si>
  <si>
    <t>حسين احمد حسين محمود مرسى</t>
  </si>
  <si>
    <t>محمد عبدالمنعم عبدالحليم إبراهيم</t>
  </si>
  <si>
    <t>عفاف إبراهيم محمد عبد المجيد</t>
  </si>
  <si>
    <t>محمد محمود حسين محمود</t>
  </si>
  <si>
    <t>ياسمين سيد عبدالله إبراهيم حسن نصار</t>
  </si>
  <si>
    <t>صفيه وائل محمد حسن سليمان</t>
  </si>
  <si>
    <t>شيماء السيد السيد شلبى شهده</t>
  </si>
  <si>
    <t>احمد منصور سليم منصور سليم</t>
  </si>
  <si>
    <t>محمد الظافر محمد رفعت احمد إبراهيم</t>
  </si>
  <si>
    <t>نيره عادل محمد حسين حجازى</t>
  </si>
  <si>
    <t>روان محمود محمد إبراهيم يوسف</t>
  </si>
  <si>
    <t xml:space="preserve">ايه محمد الفلاح عبدالقادر </t>
  </si>
  <si>
    <t>رقيه إبراهيم كمال محرم</t>
  </si>
  <si>
    <t>سلمى عادل محمد احمد</t>
  </si>
  <si>
    <t>عزيزه عبدالكريم حسين غنيم</t>
  </si>
  <si>
    <t xml:space="preserve">جانا محمد محيى الطنطاوى محمد سعفان </t>
  </si>
  <si>
    <t>شيماء حسين احمد حسن جابر</t>
  </si>
  <si>
    <t>ياسمين محمد جميل محمود</t>
  </si>
  <si>
    <t>اسراء حسام الدين حمدى احمد</t>
  </si>
  <si>
    <t>امنيه وليد احمد توفيق</t>
  </si>
  <si>
    <t>الاء محمد عبدالنبى عبداللطيف</t>
  </si>
  <si>
    <t>رشا إبراهيم حافظ محمود نيل</t>
  </si>
  <si>
    <t>السيد محمد السيد بدوى حلابه</t>
  </si>
  <si>
    <t xml:space="preserve">احمد عبدالرحمن محمد درويش </t>
  </si>
  <si>
    <t>حنان عادل محمد كمال الدين</t>
  </si>
  <si>
    <t xml:space="preserve">احمد محمد حسنى فرج </t>
  </si>
  <si>
    <t>بسنت نصر سالم محمد سالم</t>
  </si>
  <si>
    <t>فاتن عبده مصطفى احمد المنشاوى</t>
  </si>
  <si>
    <t>احمد السيد على عبدالقادر حسانين</t>
  </si>
  <si>
    <t>سامح السعيد عارف إبراهيم ياسين</t>
  </si>
  <si>
    <t>مى إبراهيم عبدالشافى السعداوى</t>
  </si>
  <si>
    <t>سلمى محمد محمد السيد</t>
  </si>
  <si>
    <t>اسراء خالد عبدالرؤوف مشرف</t>
  </si>
  <si>
    <t>سلمى خالد عبدالرؤوف مشرف</t>
  </si>
  <si>
    <t>محمد راضى رمضان محمد</t>
  </si>
  <si>
    <t>احمد عبدالعزيز إبراهيم عبدالعزيز</t>
  </si>
  <si>
    <t xml:space="preserve">محمود فوزى بخيت على سليمان </t>
  </si>
  <si>
    <t>هناء السيد السيد رضوان</t>
  </si>
  <si>
    <t>ايمان المرشدى حسنين منتصر</t>
  </si>
  <si>
    <t>محمد ربيع محمد إسماعيل</t>
  </si>
  <si>
    <t>سماء محمد المتولى عبده المتولى ملح</t>
  </si>
  <si>
    <t>الاء محمد المتولى عبده المتولى ملح</t>
  </si>
  <si>
    <t>كريم خالد محمد محمود</t>
  </si>
  <si>
    <t>منى محمد عبدالحميد على حسن</t>
  </si>
  <si>
    <t>همسه جمال عجمى احمد</t>
  </si>
  <si>
    <t>احمد سيد عبدالمنعم سيد</t>
  </si>
  <si>
    <t>فاطمة خالد عبدالمرضى شهاب الدين</t>
  </si>
  <si>
    <t>مى ناجى حسن أنور على</t>
  </si>
  <si>
    <t>محمود مصطفى محمود احمد حسن</t>
  </si>
  <si>
    <t>ناريمان محمد فريد عبد المقصود</t>
  </si>
  <si>
    <t xml:space="preserve">شهد احمد عبدالله محمد </t>
  </si>
  <si>
    <t xml:space="preserve">عبدالله محمد عزت عبدالقوي </t>
  </si>
  <si>
    <t xml:space="preserve">رقيه محمد عبدالغفار حافظ </t>
  </si>
  <si>
    <t xml:space="preserve">نورهان عباس المنسي محمد </t>
  </si>
  <si>
    <t xml:space="preserve">محمد عبدالعزيز خالد </t>
  </si>
  <si>
    <t xml:space="preserve">شهاب الدين مدحت عزت محمد قنديل  </t>
  </si>
  <si>
    <t xml:space="preserve"> هاجر عبدالنبي علي </t>
  </si>
  <si>
    <t xml:space="preserve">محمد حسن محمود  حسن </t>
  </si>
  <si>
    <t>احمد توفيق عبد الهادى</t>
  </si>
  <si>
    <t xml:space="preserve">رانيا أنور احمد  فرج  </t>
  </si>
  <si>
    <t xml:space="preserve">يوسف تامر محمد  احمد </t>
  </si>
  <si>
    <t xml:space="preserve">شيروت محمود محمد توفيق </t>
  </si>
  <si>
    <t xml:space="preserve">ادهم خالد محمد عبدالحميد عبدالرحمن </t>
  </si>
  <si>
    <t>محمد حسن تقى دشناوى</t>
  </si>
  <si>
    <t xml:space="preserve">وليد محمد عبدالرووف محمد </t>
  </si>
  <si>
    <t>شهد احمد حسنى فرج</t>
  </si>
  <si>
    <t xml:space="preserve">جمال محمد محمد أبو النصر </t>
  </si>
  <si>
    <t xml:space="preserve">سحر سيد إبراهيم </t>
  </si>
  <si>
    <t xml:space="preserve">الهام حسن عبد المولي </t>
  </si>
  <si>
    <t>محمد اشرف محمد عبد العال</t>
  </si>
  <si>
    <t>أسماء طه عبد العزيز عبد النبى عثمان</t>
  </si>
  <si>
    <t>هاله محمد موسى محمد فودة</t>
  </si>
  <si>
    <t>احمد شريف عبد المحسن عبد الهادى عمران</t>
  </si>
  <si>
    <t>احمد محمد مصطفى عبد الغفار</t>
  </si>
  <si>
    <t xml:space="preserve">محمد علي حسن محمد </t>
  </si>
  <si>
    <t xml:space="preserve">سارة يوسف  السيد علي </t>
  </si>
  <si>
    <t xml:space="preserve">طارق رضا إبراهيم احمد </t>
  </si>
  <si>
    <t xml:space="preserve">ايه عبد الناصر عبدالعظيم متولي </t>
  </si>
  <si>
    <t xml:space="preserve">عبدالله هاني عبد المنعم عيد </t>
  </si>
  <si>
    <t xml:space="preserve">ميام احمد مصطفي درويش </t>
  </si>
  <si>
    <t xml:space="preserve">حسام ناصر حسين ناصر </t>
  </si>
  <si>
    <t xml:space="preserve">احمد خالد زغلول إبراهيم </t>
  </si>
  <si>
    <t xml:space="preserve">عبدالرحمن إسماعيل محمد </t>
  </si>
  <si>
    <t xml:space="preserve">روان عثمان محمد </t>
  </si>
  <si>
    <t xml:space="preserve">عبد السلام ممدوح علي علي الدبيس </t>
  </si>
  <si>
    <t xml:space="preserve">مي نصر  سعد مرعي </t>
  </si>
  <si>
    <t>ابرام نزيه يوسف منصور</t>
  </si>
  <si>
    <t xml:space="preserve">روماني لطفي أبو الغيط إبراهيم </t>
  </si>
  <si>
    <t xml:space="preserve">محمد احمد العراقي </t>
  </si>
  <si>
    <t xml:space="preserve">امل باهي عبد القادر </t>
  </si>
  <si>
    <t xml:space="preserve">هدي حسن حسن </t>
  </si>
  <si>
    <t xml:space="preserve">بسنت محمد فتحي </t>
  </si>
  <si>
    <t xml:space="preserve">فرح محمود محمد علي </t>
  </si>
  <si>
    <t xml:space="preserve">احمد محمد احمد عثمان </t>
  </si>
  <si>
    <t xml:space="preserve">احمد سعيد محمود صابر </t>
  </si>
  <si>
    <t xml:space="preserve">نورسين  عبد الغفار علي عطيه </t>
  </si>
  <si>
    <t xml:space="preserve">بسمه محمد محمد عبدالمنعم </t>
  </si>
  <si>
    <t xml:space="preserve">منار عصام إبراهيم الدسوقي </t>
  </si>
  <si>
    <t xml:space="preserve">بسمه إبراهيم عبد العظيم علي </t>
  </si>
  <si>
    <t>هاجر زكريا بكري السايح</t>
  </si>
  <si>
    <t xml:space="preserve">عبد الرحمن احمد ربيع عبدالله </t>
  </si>
  <si>
    <t xml:space="preserve">تسنيم يونس محمد يونس </t>
  </si>
  <si>
    <t xml:space="preserve">احمد إبراهيم عبدالله حموده </t>
  </si>
  <si>
    <t>محمد احمد النبوي</t>
  </si>
  <si>
    <t>مني هنداوي جاد الكريم</t>
  </si>
  <si>
    <t>محمد محمد محمود الديب</t>
  </si>
  <si>
    <t xml:space="preserve">محمد اسامة لطفى الشوربجي احمد </t>
  </si>
  <si>
    <t xml:space="preserve">هبه عبدالبديع محمود الصاوي </t>
  </si>
  <si>
    <t xml:space="preserve">محمد رضا السيد جاد </t>
  </si>
  <si>
    <t xml:space="preserve">فاطمه سيد محمد البعرور </t>
  </si>
  <si>
    <t xml:space="preserve">سلمي إبراهيم شعبان محمد </t>
  </si>
  <si>
    <t>محمد خالد احمد</t>
  </si>
  <si>
    <t>هشام كمال عبدالرازق</t>
  </si>
  <si>
    <t>عبدالله عيدالسيد</t>
  </si>
  <si>
    <t>محمد اشرف مصطفى</t>
  </si>
  <si>
    <t>زينب عبد الكريم عبد العليم الحفناوى</t>
  </si>
  <si>
    <t xml:space="preserve">مصطفى محمد عبدالرازق احمد </t>
  </si>
  <si>
    <t>امل صبرى</t>
  </si>
  <si>
    <t>Manar Ahmed</t>
  </si>
  <si>
    <t>الإجمالي</t>
  </si>
  <si>
    <t>عمولات وسيلة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</si>
</sst>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theme="1"/>
      <name val="Calibri"/>
      <family val="2"/>
    </font>
    <font>
      <b/>
      <sz val="16"/>
      <color rgb="FF000000"/>
      <name val="Calibri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0"/>
      <name val="Times New Roman"/>
      <family val="1"/>
    </font>
    <font>
      <b/>
      <sz val="14"/>
      <color theme="1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 tint="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theme="8" tint="-0.249977111117893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35" applyNumberFormat="0" applyFill="0" applyAlignment="0" applyProtection="0"/>
  </cellStyleXfs>
  <cellXfs count="1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164" fontId="5" fillId="0" borderId="1" xfId="1" applyNumberFormat="1" applyFont="1" applyFill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4" fontId="3" fillId="4" borderId="1" xfId="1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64" fontId="0" fillId="0" borderId="1" xfId="0" applyNumberFormat="1" applyBorder="1"/>
    <xf numFmtId="14" fontId="0" fillId="0" borderId="1" xfId="0" applyNumberForma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64" fontId="7" fillId="8" borderId="7" xfId="0" applyNumberFormat="1" applyFont="1" applyFill="1" applyBorder="1" applyAlignment="1">
      <alignment horizontal="center" vertical="center"/>
    </xf>
    <xf numFmtId="164" fontId="0" fillId="0" borderId="7" xfId="0" applyNumberFormat="1" applyBorder="1" applyAlignment="1">
      <alignment vertical="center"/>
    </xf>
    <xf numFmtId="164" fontId="0" fillId="0" borderId="8" xfId="0" applyNumberFormat="1" applyBorder="1" applyAlignment="1">
      <alignment vertical="center"/>
    </xf>
    <xf numFmtId="164" fontId="0" fillId="0" borderId="9" xfId="0" applyNumberFormat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64" fontId="7" fillId="8" borderId="12" xfId="0" applyNumberFormat="1" applyFont="1" applyFill="1" applyBorder="1" applyAlignment="1">
      <alignment horizontal="center" vertical="center"/>
    </xf>
    <xf numFmtId="164" fontId="7" fillId="8" borderId="13" xfId="0" applyNumberFormat="1" applyFont="1" applyFill="1" applyBorder="1" applyAlignment="1">
      <alignment horizontal="center" vertical="center"/>
    </xf>
    <xf numFmtId="164" fontId="0" fillId="0" borderId="13" xfId="0" applyNumberFormat="1" applyBorder="1" applyAlignment="1">
      <alignment vertical="center"/>
    </xf>
    <xf numFmtId="164" fontId="7" fillId="0" borderId="14" xfId="0" applyNumberFormat="1" applyFont="1" applyBorder="1" applyAlignment="1">
      <alignment horizontal="center" vertical="center"/>
    </xf>
    <xf numFmtId="164" fontId="0" fillId="0" borderId="15" xfId="0" applyNumberFormat="1" applyBorder="1" applyAlignment="1">
      <alignment vertical="center"/>
    </xf>
    <xf numFmtId="0" fontId="7" fillId="0" borderId="17" xfId="0" applyFont="1" applyBorder="1" applyAlignment="1">
      <alignment vertical="center"/>
    </xf>
    <xf numFmtId="164" fontId="7" fillId="8" borderId="18" xfId="0" applyNumberFormat="1" applyFont="1" applyFill="1" applyBorder="1" applyAlignment="1">
      <alignment horizontal="center" vertical="center"/>
    </xf>
    <xf numFmtId="164" fontId="7" fillId="8" borderId="19" xfId="0" applyNumberFormat="1" applyFont="1" applyFill="1" applyBorder="1" applyAlignment="1">
      <alignment horizontal="center" vertical="center"/>
    </xf>
    <xf numFmtId="164" fontId="7" fillId="8" borderId="20" xfId="0" applyNumberFormat="1" applyFont="1" applyFill="1" applyBorder="1" applyAlignment="1">
      <alignment horizontal="center" vertical="center"/>
    </xf>
    <xf numFmtId="164" fontId="0" fillId="0" borderId="21" xfId="0" applyNumberFormat="1" applyBorder="1" applyAlignment="1">
      <alignment vertical="center"/>
    </xf>
    <xf numFmtId="164" fontId="3" fillId="0" borderId="1" xfId="0" applyNumberFormat="1" applyFont="1" applyBorder="1"/>
    <xf numFmtId="0" fontId="0" fillId="7" borderId="26" xfId="0" applyFill="1" applyBorder="1" applyAlignment="1">
      <alignment vertical="center"/>
    </xf>
    <xf numFmtId="0" fontId="6" fillId="7" borderId="27" xfId="0" applyFont="1" applyFill="1" applyBorder="1" applyAlignment="1">
      <alignment horizontal="center" vertical="center"/>
    </xf>
    <xf numFmtId="0" fontId="6" fillId="7" borderId="28" xfId="0" applyFont="1" applyFill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9" fontId="7" fillId="8" borderId="0" xfId="0" applyNumberFormat="1" applyFont="1" applyFill="1" applyAlignment="1">
      <alignment horizontal="center" vertical="center"/>
    </xf>
    <xf numFmtId="9" fontId="7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30" xfId="0" applyBorder="1" applyAlignment="1">
      <alignment vertical="center"/>
    </xf>
    <xf numFmtId="9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9" fontId="7" fillId="8" borderId="32" xfId="0" applyNumberFormat="1" applyFont="1" applyFill="1" applyBorder="1" applyAlignment="1">
      <alignment horizontal="center" vertical="center"/>
    </xf>
    <xf numFmtId="9" fontId="7" fillId="0" borderId="32" xfId="0" applyNumberFormat="1" applyFont="1" applyBorder="1" applyAlignment="1">
      <alignment horizontal="center" vertical="center"/>
    </xf>
    <xf numFmtId="9" fontId="7" fillId="0" borderId="33" xfId="0" applyNumberFormat="1" applyFont="1" applyBorder="1" applyAlignment="1">
      <alignment horizontal="center" vertical="center"/>
    </xf>
    <xf numFmtId="0" fontId="7" fillId="0" borderId="26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164" fontId="2" fillId="2" borderId="34" xfId="1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0" fontId="0" fillId="0" borderId="0" xfId="0" pivotButton="1"/>
    <xf numFmtId="164" fontId="0" fillId="0" borderId="0" xfId="0" applyNumberFormat="1"/>
    <xf numFmtId="0" fontId="10" fillId="0" borderId="0" xfId="0" applyFont="1"/>
    <xf numFmtId="0" fontId="11" fillId="0" borderId="0" xfId="0" applyFont="1" applyAlignment="1">
      <alignment horizontal="center"/>
    </xf>
    <xf numFmtId="17" fontId="11" fillId="0" borderId="0" xfId="0" applyNumberFormat="1" applyFont="1" applyAlignment="1">
      <alignment horizontal="center"/>
    </xf>
    <xf numFmtId="43" fontId="10" fillId="0" borderId="0" xfId="1" applyFont="1" applyFill="1" applyBorder="1"/>
    <xf numFmtId="0" fontId="12" fillId="0" borderId="0" xfId="0" applyFont="1" applyAlignment="1">
      <alignment horizontal="center" vertical="center"/>
    </xf>
    <xf numFmtId="0" fontId="12" fillId="0" borderId="0" xfId="0" applyFont="1"/>
    <xf numFmtId="43" fontId="12" fillId="0" borderId="0" xfId="1" applyFont="1"/>
    <xf numFmtId="43" fontId="0" fillId="0" borderId="0" xfId="1" applyFont="1"/>
    <xf numFmtId="0" fontId="3" fillId="9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0" fontId="9" fillId="10" borderId="36" xfId="3" applyNumberFormat="1" applyFill="1" applyBorder="1" applyAlignment="1">
      <alignment horizontal="center"/>
    </xf>
    <xf numFmtId="0" fontId="3" fillId="0" borderId="36" xfId="0" applyFont="1" applyBorder="1" applyAlignment="1">
      <alignment horizontal="center"/>
    </xf>
    <xf numFmtId="10" fontId="3" fillId="0" borderId="36" xfId="2" applyNumberFormat="1" applyFont="1" applyBorder="1" applyAlignment="1">
      <alignment horizontal="center"/>
    </xf>
    <xf numFmtId="10" fontId="3" fillId="0" borderId="0" xfId="2" applyNumberFormat="1" applyFont="1" applyAlignment="1">
      <alignment horizontal="center"/>
    </xf>
    <xf numFmtId="0" fontId="3" fillId="9" borderId="0" xfId="0" applyFont="1" applyFill="1" applyAlignment="1">
      <alignment horizontal="center" vertical="center"/>
    </xf>
    <xf numFmtId="10" fontId="3" fillId="0" borderId="0" xfId="2" applyNumberFormat="1" applyFont="1" applyBorder="1" applyAlignment="1">
      <alignment horizontal="center"/>
    </xf>
    <xf numFmtId="43" fontId="13" fillId="3" borderId="0" xfId="1" applyFont="1" applyFill="1" applyAlignment="1">
      <alignment horizontal="center" vertical="center"/>
    </xf>
    <xf numFmtId="43" fontId="2" fillId="11" borderId="39" xfId="1" applyFont="1" applyFill="1" applyBorder="1" applyAlignment="1">
      <alignment horizontal="center" vertical="center"/>
    </xf>
    <xf numFmtId="10" fontId="10" fillId="0" borderId="0" xfId="2" applyNumberFormat="1" applyFont="1"/>
    <xf numFmtId="10" fontId="0" fillId="0" borderId="0" xfId="2" applyNumberFormat="1" applyFont="1"/>
    <xf numFmtId="10" fontId="2" fillId="11" borderId="39" xfId="2" applyNumberFormat="1" applyFont="1" applyFill="1" applyBorder="1" applyAlignment="1">
      <alignment horizontal="center" vertical="center"/>
    </xf>
    <xf numFmtId="0" fontId="0" fillId="12" borderId="0" xfId="0" applyFill="1"/>
    <xf numFmtId="164" fontId="0" fillId="12" borderId="0" xfId="0" applyNumberFormat="1" applyFill="1"/>
    <xf numFmtId="10" fontId="0" fillId="10" borderId="0" xfId="2" applyNumberFormat="1" applyFont="1" applyFill="1"/>
    <xf numFmtId="43" fontId="0" fillId="10" borderId="0" xfId="1" applyFont="1" applyFill="1"/>
    <xf numFmtId="10" fontId="0" fillId="13" borderId="0" xfId="2" applyNumberFormat="1" applyFont="1" applyFill="1"/>
    <xf numFmtId="43" fontId="0" fillId="0" borderId="1" xfId="1" applyFont="1" applyBorder="1"/>
    <xf numFmtId="0" fontId="0" fillId="0" borderId="1" xfId="0" applyBorder="1"/>
    <xf numFmtId="43" fontId="3" fillId="14" borderId="1" xfId="1" applyFont="1" applyFill="1" applyBorder="1"/>
    <xf numFmtId="10" fontId="3" fillId="14" borderId="1" xfId="2" applyNumberFormat="1" applyFont="1" applyFill="1" applyBorder="1" applyAlignment="1">
      <alignment horizontal="center" vertical="center"/>
    </xf>
    <xf numFmtId="43" fontId="3" fillId="14" borderId="1" xfId="1" applyFont="1" applyFill="1" applyBorder="1" applyAlignment="1">
      <alignment horizontal="center" vertical="center"/>
    </xf>
    <xf numFmtId="10" fontId="0" fillId="0" borderId="1" xfId="2" applyNumberFormat="1" applyFont="1" applyBorder="1" applyAlignment="1">
      <alignment horizontal="center" vertical="center"/>
    </xf>
    <xf numFmtId="0" fontId="14" fillId="13" borderId="40" xfId="0" applyFont="1" applyFill="1" applyBorder="1" applyAlignment="1">
      <alignment horizontal="center" vertical="center"/>
    </xf>
    <xf numFmtId="0" fontId="14" fillId="13" borderId="41" xfId="0" applyFont="1" applyFill="1" applyBorder="1" applyAlignment="1">
      <alignment horizontal="center" vertical="center"/>
    </xf>
    <xf numFmtId="0" fontId="15" fillId="9" borderId="42" xfId="0" applyFont="1" applyFill="1" applyBorder="1" applyAlignment="1">
      <alignment horizontal="center" vertical="center"/>
    </xf>
    <xf numFmtId="0" fontId="15" fillId="9" borderId="43" xfId="0" applyFont="1" applyFill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15" fillId="10" borderId="43" xfId="0" applyFont="1" applyFill="1" applyBorder="1" applyAlignment="1">
      <alignment horizontal="centerContinuous" vertical="center"/>
    </xf>
    <xf numFmtId="0" fontId="14" fillId="10" borderId="41" xfId="0" applyFont="1" applyFill="1" applyBorder="1" applyAlignment="1">
      <alignment horizontal="center" vertical="center"/>
    </xf>
    <xf numFmtId="43" fontId="15" fillId="0" borderId="43" xfId="1" applyFont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164" fontId="3" fillId="0" borderId="16" xfId="0" applyNumberFormat="1" applyFont="1" applyBorder="1" applyAlignment="1">
      <alignment horizontal="center" vertical="center"/>
    </xf>
    <xf numFmtId="164" fontId="3" fillId="0" borderId="22" xfId="0" applyNumberFormat="1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3" fillId="9" borderId="36" xfId="0" applyFont="1" applyFill="1" applyBorder="1" applyAlignment="1">
      <alignment horizontal="center" vertical="center"/>
    </xf>
    <xf numFmtId="10" fontId="3" fillId="0" borderId="37" xfId="2" applyNumberFormat="1" applyFont="1" applyBorder="1" applyAlignment="1">
      <alignment horizontal="center" vertical="center"/>
    </xf>
    <xf numFmtId="10" fontId="3" fillId="0" borderId="38" xfId="2" applyNumberFormat="1" applyFont="1" applyBorder="1" applyAlignment="1">
      <alignment horizontal="center" vertical="center"/>
    </xf>
    <xf numFmtId="0" fontId="3" fillId="14" borderId="23" xfId="0" applyFont="1" applyFill="1" applyBorder="1" applyAlignment="1">
      <alignment horizontal="center"/>
    </xf>
    <xf numFmtId="0" fontId="3" fillId="14" borderId="24" xfId="0" applyFont="1" applyFill="1" applyBorder="1" applyAlignment="1">
      <alignment horizontal="center"/>
    </xf>
    <xf numFmtId="0" fontId="3" fillId="14" borderId="25" xfId="0" applyFont="1" applyFill="1" applyBorder="1" applyAlignment="1">
      <alignment horizontal="center"/>
    </xf>
  </cellXfs>
  <cellStyles count="4">
    <cellStyle name="Comma" xfId="1" builtinId="3"/>
    <cellStyle name="Percent" xfId="2" builtinId="5"/>
    <cellStyle name="عادي" xfId="0" builtinId="0"/>
    <cellStyle name="عنوان 2" xfId="3" builtinId="17"/>
  </cellStyles>
  <dxfs count="26"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ce" refreshedDate="45988.766250925924" createdVersion="8" refreshedVersion="8" minRefreshableVersion="3" recordCount="420" xr:uid="{E20E5751-648B-48E7-B6F0-3BCB670AFDE6}">
  <cacheSource type="worksheet">
    <worksheetSource ref="A1:U421" sheet="Sheet1"/>
  </cacheSource>
  <cacheFields count="21">
    <cacheField name="loan_key" numFmtId="0">
      <sharedItems/>
    </cacheField>
    <cacheField name="nid" numFmtId="0">
      <sharedItems/>
    </cacheField>
    <cacheField name="No. of Loans" numFmtId="0">
      <sharedItems containsSemiMixedTypes="0" containsString="0" containsNumber="1" containsInteger="1" minValue="1" maxValue="6"/>
    </cacheField>
    <cacheField name="customer_name" numFmtId="0">
      <sharedItems/>
    </cacheField>
    <cacheField name="customer_key" numFmtId="0">
      <sharedItems/>
    </cacheField>
    <cacheField name="Bucket Was" numFmtId="0">
      <sharedItems/>
    </cacheField>
    <cacheField name="Bucket Is" numFmtId="0">
      <sharedItems/>
    </cacheField>
    <cacheField name="Type" numFmtId="0">
      <sharedItems count="2">
        <s v="W.O"/>
        <s v="Active"/>
      </sharedItems>
    </cacheField>
    <cacheField name="Owner" numFmtId="0">
      <sharedItems/>
    </cacheField>
    <cacheField name="Outstanding Principal" numFmtId="164">
      <sharedItems containsSemiMixedTypes="0" containsString="0" containsNumber="1" minValue="275" maxValue="7056030"/>
    </cacheField>
    <cacheField name="Receivables Outstanding" numFmtId="164">
      <sharedItems containsSemiMixedTypes="0" containsString="0" containsNumber="1" minValue="412" maxValue="14808521"/>
    </cacheField>
    <cacheField name="OVD" numFmtId="164">
      <sharedItems containsSemiMixedTypes="0" containsString="0" containsNumber="1" minValue="412" maxValue="2467381"/>
    </cacheField>
    <cacheField name="PMT" numFmtId="164">
      <sharedItems containsSemiMixedTypes="0" containsString="0" containsNumber="1" containsInteger="1" minValue="100" maxValue="251860"/>
    </cacheField>
    <cacheField name="Agency Payment" numFmtId="164">
      <sharedItems containsSemiMixedTypes="0" containsString="0" containsNumber="1" containsInteger="1" minValue="0" maxValue="37055"/>
    </cacheField>
    <cacheField name="Date of Payment" numFmtId="14">
      <sharedItems containsNonDate="0" containsDate="1" containsString="0" containsBlank="1" minDate="2025-10-02T00:00:00" maxDate="2025-11-01T00:00:00"/>
    </cacheField>
    <cacheField name="collector" numFmtId="0">
      <sharedItems count="5">
        <s v="قيمه"/>
        <s v="ياسمين محمد رشاد الشحات "/>
        <s v="مريم جابر إسماعيل "/>
        <s v="كريمه هانى "/>
        <s v="سلمي يونس محمد "/>
      </sharedItems>
    </cacheField>
    <cacheField name="code" numFmtId="0">
      <sharedItems containsString="0" containsBlank="1" containsNumber="1" containsInteger="1" minValue="732" maxValue="772"/>
    </cacheField>
    <cacheField name="s.v" numFmtId="0">
      <sharedItems count="1">
        <s v="رحاب عبد الهادى احمد بدوى"/>
      </sharedItems>
    </cacheField>
    <cacheField name="code2" numFmtId="1">
      <sharedItems containsSemiMixedTypes="0" containsString="0" containsNumber="1" containsInteger="1" minValue="54" maxValue="54"/>
    </cacheField>
    <cacheField name="head " numFmtId="0">
      <sharedItems count="1">
        <s v="محمود النادى أبو الحسن احمد"/>
      </sharedItems>
    </cacheField>
    <cacheField name="code3" numFmtId="1">
      <sharedItems containsSemiMixedTypes="0" containsString="0" containsNumber="1" containsInteger="1" minValue="31" maxValue="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0">
  <r>
    <s v="1000263501"/>
    <s v="29911112301196"/>
    <n v="2"/>
    <s v="عبد الرحمن عيد علي عبد القوي "/>
    <s v="10002635"/>
    <s v="Charged-off"/>
    <s v="Charged-off"/>
    <x v="0"/>
    <s v="Qima"/>
    <n v="7056030"/>
    <n v="14808521"/>
    <n v="2467381"/>
    <n v="251860"/>
    <n v="0"/>
    <m/>
    <x v="0"/>
    <m/>
    <x v="0"/>
    <n v="54"/>
    <x v="0"/>
    <n v="31"/>
  </r>
  <r>
    <s v="1000248701"/>
    <s v="28706073200232"/>
    <n v="2"/>
    <s v="مصطفي امين زيدان عبد العال "/>
    <s v="10002487"/>
    <s v="Bucket 5"/>
    <s v="Bucket 5"/>
    <x v="1"/>
    <s v="Qima"/>
    <n v="3967150"/>
    <n v="7929169"/>
    <n v="832744"/>
    <n v="144825"/>
    <n v="0"/>
    <m/>
    <x v="0"/>
    <m/>
    <x v="0"/>
    <n v="54"/>
    <x v="0"/>
    <n v="31"/>
  </r>
  <r>
    <s v="1000942701"/>
    <s v="28003040100142"/>
    <n v="2"/>
    <s v="كريستين سعيد جيد جرجس"/>
    <s v="10009427"/>
    <s v="Bucket 4"/>
    <s v="Bucket 4"/>
    <x v="1"/>
    <s v="Qima"/>
    <n v="1062270"/>
    <n v="2136139"/>
    <n v="173204"/>
    <n v="38490"/>
    <n v="0"/>
    <m/>
    <x v="0"/>
    <m/>
    <x v="0"/>
    <n v="54"/>
    <x v="0"/>
    <n v="31"/>
  </r>
  <r>
    <s v="1000263502"/>
    <s v="29911112301196"/>
    <n v="2"/>
    <s v="عبد الرحمن عيد علي عبد القوي "/>
    <s v="10002635"/>
    <s v="Charged-off"/>
    <s v="Charged-off"/>
    <x v="0"/>
    <s v="Qima"/>
    <n v="195160"/>
    <n v="286905"/>
    <n v="262000"/>
    <n v="24905"/>
    <n v="0"/>
    <m/>
    <x v="0"/>
    <m/>
    <x v="0"/>
    <n v="54"/>
    <x v="0"/>
    <n v="31"/>
  </r>
  <r>
    <s v="1000346001"/>
    <s v="29109150107114"/>
    <n v="1"/>
    <s v="محمد عيد صالح محمود "/>
    <s v="10003460"/>
    <s v="Bucket 2"/>
    <s v="Bucket 2"/>
    <x v="1"/>
    <s v="Qima"/>
    <n v="166455"/>
    <n v="273285"/>
    <n v="20695"/>
    <n v="9715"/>
    <n v="0"/>
    <m/>
    <x v="1"/>
    <n v="732"/>
    <x v="0"/>
    <n v="54"/>
    <x v="0"/>
    <n v="31"/>
  </r>
  <r>
    <s v="1000029802"/>
    <s v="27906262601634"/>
    <n v="2"/>
    <s v="رجب خطاب فاضل محمد "/>
    <s v="10000298"/>
    <s v="Bucket 3"/>
    <s v="Current"/>
    <x v="1"/>
    <s v="Qima"/>
    <n v="162230"/>
    <n v="264590"/>
    <n v="37055"/>
    <n v="10835"/>
    <n v="37055"/>
    <d v="2025-10-25T00:00:00"/>
    <x v="1"/>
    <n v="732"/>
    <x v="0"/>
    <n v="54"/>
    <x v="0"/>
    <n v="31"/>
  </r>
  <r>
    <s v="1000248702"/>
    <s v="28706073200232"/>
    <n v="2"/>
    <s v="مصطفي امين زيدان عبد العال "/>
    <s v="10002487"/>
    <s v="Bucket 6"/>
    <s v="Bucket 6"/>
    <x v="1"/>
    <s v="Qima"/>
    <n v="155950"/>
    <n v="201791"/>
    <n v="176886"/>
    <n v="24905"/>
    <n v="0"/>
    <m/>
    <x v="0"/>
    <m/>
    <x v="0"/>
    <n v="54"/>
    <x v="0"/>
    <n v="31"/>
  </r>
  <r>
    <s v="1000025501"/>
    <s v="29603121401822"/>
    <n v="1"/>
    <s v="مريم محمد مصطفى محمود حمزة "/>
    <s v="10000255"/>
    <s v="Bucket 2"/>
    <s v="Bucket 2"/>
    <x v="1"/>
    <s v="Qima"/>
    <n v="155595"/>
    <n v="237238"/>
    <n v="22513"/>
    <n v="10225"/>
    <n v="0"/>
    <m/>
    <x v="2"/>
    <n v="772"/>
    <x v="0"/>
    <n v="54"/>
    <x v="0"/>
    <n v="31"/>
  </r>
  <r>
    <s v="1000456901"/>
    <s v="29208011708403"/>
    <n v="1"/>
    <s v="دينا حسام الدين محمد فرج حما"/>
    <s v="10004569"/>
    <s v="Bucket 5"/>
    <s v="Bucket 2"/>
    <x v="1"/>
    <s v="Qima"/>
    <n v="133380"/>
    <n v="275489"/>
    <n v="26864"/>
    <n v="4875"/>
    <n v="16110"/>
    <d v="2025-10-19T00:00:00"/>
    <x v="1"/>
    <n v="732"/>
    <x v="0"/>
    <n v="54"/>
    <x v="0"/>
    <n v="31"/>
  </r>
  <r>
    <s v="1000839401"/>
    <s v="29401201600352"/>
    <n v="1"/>
    <s v="حماده سليمان رمضان ابراهيم الدش"/>
    <s v="10008394"/>
    <s v="Bucket 4"/>
    <s v="Bucket 4"/>
    <x v="1"/>
    <s v="Qima"/>
    <n v="132550"/>
    <n v="248330"/>
    <n v="23440"/>
    <n v="5230"/>
    <n v="0"/>
    <m/>
    <x v="1"/>
    <n v="732"/>
    <x v="0"/>
    <n v="54"/>
    <x v="0"/>
    <n v="31"/>
  </r>
  <r>
    <s v="1001016701"/>
    <s v="28712031500171"/>
    <n v="1"/>
    <s v="احمد فتوح عبدالعزيز احمد ابراهيم"/>
    <s v="10010167"/>
    <s v="Bucket 2"/>
    <s v="Bucket 2"/>
    <x v="1"/>
    <s v="Qima"/>
    <n v="120500"/>
    <n v="197381"/>
    <n v="12047"/>
    <n v="5451"/>
    <n v="0"/>
    <m/>
    <x v="1"/>
    <n v="732"/>
    <x v="0"/>
    <n v="54"/>
    <x v="0"/>
    <n v="31"/>
  </r>
  <r>
    <s v="1000033401"/>
    <s v="27004210200573"/>
    <n v="2"/>
    <s v="خالد على سعيد الديب "/>
    <s v="10000334"/>
    <s v="Bucket 2"/>
    <s v="Bucket 2"/>
    <x v="1"/>
    <s v="Qima"/>
    <n v="118620"/>
    <n v="188697"/>
    <n v="17967"/>
    <n v="8130"/>
    <n v="0"/>
    <m/>
    <x v="1"/>
    <n v="732"/>
    <x v="0"/>
    <n v="54"/>
    <x v="0"/>
    <n v="31"/>
  </r>
  <r>
    <s v="1000811001"/>
    <s v="28609171600332"/>
    <n v="1"/>
    <s v="احمد شعبان منير على يونس "/>
    <s v="10008110"/>
    <s v="Bucket 6"/>
    <s v="Bucket 6"/>
    <x v="1"/>
    <s v="Qima"/>
    <n v="106170"/>
    <n v="191668"/>
    <n v="48558"/>
    <n v="6505"/>
    <n v="0"/>
    <m/>
    <x v="1"/>
    <n v="732"/>
    <x v="0"/>
    <n v="54"/>
    <x v="0"/>
    <n v="31"/>
  </r>
  <r>
    <s v="1000942702"/>
    <s v="28003040100142"/>
    <n v="2"/>
    <s v="كريستين سعيد جيد جرجس"/>
    <s v="10009427"/>
    <s v="Bucket 4"/>
    <s v="Bucket 4"/>
    <x v="1"/>
    <s v="Qima"/>
    <n v="96570"/>
    <n v="195452"/>
    <n v="16497"/>
    <n v="3510"/>
    <n v="0"/>
    <m/>
    <x v="0"/>
    <m/>
    <x v="0"/>
    <n v="54"/>
    <x v="0"/>
    <n v="31"/>
  </r>
  <r>
    <s v="1000431501"/>
    <s v="29006260300072"/>
    <n v="3"/>
    <s v="وليد كمال صبحي احمد عبدالله "/>
    <s v="10004315"/>
    <s v="Bucket 4"/>
    <s v="Bucket 4"/>
    <x v="1"/>
    <s v="Qima"/>
    <n v="95484"/>
    <n v="176094"/>
    <n v="26109"/>
    <n v="5555"/>
    <n v="0"/>
    <m/>
    <x v="2"/>
    <n v="772"/>
    <x v="0"/>
    <n v="54"/>
    <x v="0"/>
    <n v="31"/>
  </r>
  <r>
    <s v="1000418801"/>
    <s v="27106032101776"/>
    <n v="1"/>
    <s v="محمود احمد محمد سرحان "/>
    <s v="10004188"/>
    <s v="Bucket 4"/>
    <s v="Bucket 2"/>
    <x v="1"/>
    <s v="Qima"/>
    <n v="89305"/>
    <n v="121394"/>
    <n v="44434"/>
    <n v="9620"/>
    <n v="24200"/>
    <d v="2025-10-31T00:00:00"/>
    <x v="2"/>
    <n v="772"/>
    <x v="0"/>
    <n v="54"/>
    <x v="0"/>
    <n v="31"/>
  </r>
  <r>
    <s v="1000139901"/>
    <s v="28211270105501"/>
    <n v="1"/>
    <s v="مهجه جاد محمد عبداللطيف "/>
    <s v="10001399"/>
    <s v="Bucket 6"/>
    <s v="Bucket 6"/>
    <x v="1"/>
    <s v="Qima"/>
    <n v="83310"/>
    <n v="130051"/>
    <n v="49831"/>
    <n v="6685"/>
    <n v="0"/>
    <m/>
    <x v="3"/>
    <m/>
    <x v="0"/>
    <n v="54"/>
    <x v="0"/>
    <n v="31"/>
  </r>
  <r>
    <s v="1000558501"/>
    <s v="28610151802069"/>
    <n v="2"/>
    <s v="هبه محمود فتح الله عبد اللطيف"/>
    <s v="10005585"/>
    <s v="Bucket 6"/>
    <s v="Bucket 6"/>
    <x v="1"/>
    <s v="Qima"/>
    <n v="82385"/>
    <n v="153832"/>
    <n v="31112"/>
    <n v="4720"/>
    <n v="0"/>
    <m/>
    <x v="1"/>
    <n v="732"/>
    <x v="0"/>
    <n v="54"/>
    <x v="0"/>
    <n v="31"/>
  </r>
  <r>
    <s v="1000863001"/>
    <s v="27508311500037"/>
    <n v="1"/>
    <s v="وليد محمد محمد نوار "/>
    <s v="10008630"/>
    <s v="Bucket 2"/>
    <s v="Current"/>
    <x v="1"/>
    <s v="Qima"/>
    <n v="81100"/>
    <n v="131334"/>
    <n v="11984"/>
    <n v="5425"/>
    <n v="11984"/>
    <d v="2025-10-29T00:00:00"/>
    <x v="2"/>
    <n v="772"/>
    <x v="0"/>
    <n v="54"/>
    <x v="0"/>
    <n v="31"/>
  </r>
  <r>
    <s v="1000278301"/>
    <s v="28101300100399"/>
    <n v="1"/>
    <s v="احمد اسماعيل توفيق حسين "/>
    <s v="10002783"/>
    <s v="Bucket 4"/>
    <s v="Bucket 2"/>
    <x v="1"/>
    <s v="Qima"/>
    <n v="79357"/>
    <n v="112350"/>
    <n v="25445"/>
    <n v="6685"/>
    <n v="11200"/>
    <d v="2025-10-30T00:00:00"/>
    <x v="1"/>
    <n v="732"/>
    <x v="0"/>
    <n v="54"/>
    <x v="0"/>
    <n v="31"/>
  </r>
  <r>
    <s v="1000002201"/>
    <s v="28205200105211"/>
    <n v="1"/>
    <s v="عادل ماهر فهيم حنا"/>
    <s v="10000022"/>
    <s v="Bucket 2"/>
    <s v="Bucket 2"/>
    <x v="1"/>
    <s v="Qima"/>
    <n v="79065"/>
    <n v="125905"/>
    <n v="11980"/>
    <n v="5425"/>
    <n v="6000"/>
    <d v="2025-10-26T00:00:00"/>
    <x v="1"/>
    <n v="732"/>
    <x v="0"/>
    <n v="54"/>
    <x v="0"/>
    <n v="31"/>
  </r>
  <r>
    <s v="1000775001"/>
    <s v="29610231701135"/>
    <n v="1"/>
    <s v="عبدالله علاء الدين ممد عبد المنصف خلف"/>
    <s v="10007750"/>
    <s v="Bucket 2"/>
    <s v="Bucket 2"/>
    <x v="1"/>
    <s v="Qima"/>
    <n v="77265"/>
    <n v="116248"/>
    <n v="5848"/>
    <n v="2760"/>
    <n v="0"/>
    <m/>
    <x v="2"/>
    <n v="772"/>
    <x v="0"/>
    <n v="54"/>
    <x v="0"/>
    <n v="31"/>
  </r>
  <r>
    <s v="1000144401"/>
    <s v="26604031400351"/>
    <n v="2"/>
    <s v="حسني عبدالرؤوف حسين علي "/>
    <s v="10001444"/>
    <s v="Charged-off"/>
    <s v="Charged-off"/>
    <x v="0"/>
    <s v="Qima"/>
    <n v="74139"/>
    <n v="115334"/>
    <n v="49939"/>
    <n v="5945"/>
    <n v="0"/>
    <m/>
    <x v="3"/>
    <m/>
    <x v="0"/>
    <n v="54"/>
    <x v="0"/>
    <n v="31"/>
  </r>
  <r>
    <s v="1000845402"/>
    <s v="27106201402063"/>
    <n v="2"/>
    <s v="أمانى ابراهيم ابو الخير عبدالله "/>
    <s v="10008454"/>
    <s v="Bucket 4"/>
    <s v="Bucket 3"/>
    <x v="1"/>
    <s v="Qima"/>
    <n v="73725"/>
    <n v="121076"/>
    <n v="15521"/>
    <n v="3405"/>
    <n v="5817"/>
    <d v="2025-10-23T00:00:00"/>
    <x v="2"/>
    <n v="772"/>
    <x v="0"/>
    <n v="54"/>
    <x v="0"/>
    <n v="31"/>
  </r>
  <r>
    <s v="1000114401"/>
    <s v="29109120101839"/>
    <n v="1"/>
    <s v="مصطفي محمد رضوان حسانين"/>
    <s v="10001144"/>
    <s v="Bucket 4"/>
    <s v="Bucket 3"/>
    <x v="1"/>
    <s v="Qima"/>
    <n v="72380"/>
    <n v="140620"/>
    <n v="12740"/>
    <n v="2780"/>
    <n v="3600"/>
    <d v="2025-10-07T00:00:00"/>
    <x v="2"/>
    <n v="772"/>
    <x v="0"/>
    <n v="54"/>
    <x v="0"/>
    <n v="31"/>
  </r>
  <r>
    <s v="1000558502"/>
    <s v="28610151802069"/>
    <n v="2"/>
    <s v="هبه محمود فتح الله عبد اللطيف"/>
    <s v="10005585"/>
    <s v="Bucket 6"/>
    <s v="Bucket 6"/>
    <x v="1"/>
    <s v="Qima"/>
    <n v="69330"/>
    <n v="91350"/>
    <n v="80565"/>
    <n v="10785"/>
    <n v="0"/>
    <m/>
    <x v="1"/>
    <n v="732"/>
    <x v="0"/>
    <n v="54"/>
    <x v="0"/>
    <n v="31"/>
  </r>
  <r>
    <s v="1000448901"/>
    <s v="26607062800674"/>
    <n v="1"/>
    <s v="محمد يسري شعبان بحر حسن "/>
    <s v="10004489"/>
    <s v="Bucket 4"/>
    <s v="Bucket 3"/>
    <x v="1"/>
    <s v="Qima"/>
    <n v="69159"/>
    <n v="124184"/>
    <n v="14294"/>
    <n v="4070"/>
    <n v="400"/>
    <d v="2025-10-31T00:00:00"/>
    <x v="4"/>
    <n v="763"/>
    <x v="0"/>
    <n v="54"/>
    <x v="0"/>
    <n v="31"/>
  </r>
  <r>
    <s v="1000125101"/>
    <s v="27609080101062"/>
    <n v="1"/>
    <s v="سيده فرج الله بلال مرسال"/>
    <s v="10001251"/>
    <s v="Bucket 5"/>
    <s v="Bucket 5"/>
    <x v="1"/>
    <s v="Qima"/>
    <n v="68895"/>
    <n v="138195"/>
    <n v="15760"/>
    <n v="2605"/>
    <n v="0"/>
    <m/>
    <x v="3"/>
    <m/>
    <x v="0"/>
    <n v="54"/>
    <x v="0"/>
    <n v="31"/>
  </r>
  <r>
    <s v="1000408601"/>
    <s v="28107111701576"/>
    <n v="1"/>
    <s v="محمد نبيل عبدالعزيز شعبان "/>
    <s v="10004086"/>
    <s v="Bucket 4"/>
    <s v="Bucket 4"/>
    <x v="1"/>
    <s v="Qima"/>
    <n v="63183"/>
    <n v="111894"/>
    <n v="13094"/>
    <n v="3800"/>
    <n v="0"/>
    <m/>
    <x v="1"/>
    <n v="732"/>
    <x v="0"/>
    <n v="54"/>
    <x v="0"/>
    <n v="31"/>
  </r>
  <r>
    <s v="1000662502"/>
    <s v="27601211301011"/>
    <n v="2"/>
    <s v="صبري احمد ابراهيم ابراهيم"/>
    <s v="10006625"/>
    <s v="Bucket 2"/>
    <s v="Bucket 2"/>
    <x v="1"/>
    <s v="Qima"/>
    <n v="60670"/>
    <n v="80027"/>
    <n v="10277"/>
    <n v="4650"/>
    <n v="0"/>
    <m/>
    <x v="2"/>
    <n v="772"/>
    <x v="0"/>
    <n v="54"/>
    <x v="0"/>
    <n v="31"/>
  </r>
  <r>
    <s v="1000662501"/>
    <s v="27601211301011"/>
    <n v="2"/>
    <s v="صبري احمد ابراهيم ابراهيم"/>
    <s v="10006625"/>
    <s v="Bucket 2"/>
    <s v="Bucket 2"/>
    <x v="1"/>
    <s v="Qima"/>
    <n v="60670"/>
    <n v="79699"/>
    <n v="9949"/>
    <n v="4650"/>
    <n v="0"/>
    <m/>
    <x v="2"/>
    <n v="772"/>
    <x v="0"/>
    <n v="54"/>
    <x v="0"/>
    <n v="31"/>
  </r>
  <r>
    <s v="1000736101"/>
    <s v="27007211400559"/>
    <n v="1"/>
    <s v="ايهاب سعد اسماعيل متولي "/>
    <s v="10007361"/>
    <s v="Bucket 4"/>
    <s v="Bucket 4"/>
    <x v="1"/>
    <s v="Qima"/>
    <n v="60646"/>
    <n v="93487"/>
    <n v="7387"/>
    <n v="2100"/>
    <n v="0"/>
    <m/>
    <x v="2"/>
    <n v="772"/>
    <x v="0"/>
    <n v="54"/>
    <x v="0"/>
    <n v="31"/>
  </r>
  <r>
    <s v="1000728501"/>
    <s v="28111158800073"/>
    <n v="1"/>
    <s v="هاني مصطفى محمود على الجيزاوى "/>
    <s v="10007285"/>
    <s v="Bucket 3"/>
    <s v="Bucket 1"/>
    <x v="1"/>
    <s v="Qima"/>
    <n v="60385"/>
    <n v="91152"/>
    <n v="5152"/>
    <n v="2150"/>
    <n v="3000"/>
    <d v="2025-10-12T00:00:00"/>
    <x v="4"/>
    <n v="763"/>
    <x v="0"/>
    <n v="54"/>
    <x v="0"/>
    <n v="31"/>
  </r>
  <r>
    <s v="1000938001"/>
    <s v="28408048800054"/>
    <n v="1"/>
    <s v="شريف فتحي نعيم السيد"/>
    <s v="10009380"/>
    <s v="Charged-off"/>
    <s v="Charged-off"/>
    <x v="0"/>
    <s v="Qima"/>
    <n v="59905"/>
    <n v="92546"/>
    <n v="45627"/>
    <n v="5215"/>
    <n v="0"/>
    <m/>
    <x v="3"/>
    <m/>
    <x v="0"/>
    <n v="54"/>
    <x v="0"/>
    <n v="31"/>
  </r>
  <r>
    <s v="1000403201"/>
    <s v="27306172800908"/>
    <n v="1"/>
    <s v="لمياء هاشم محمود احمد ابوصادق"/>
    <s v="10004032"/>
    <s v="Bucket 6"/>
    <s v="Bucket 6"/>
    <x v="1"/>
    <s v="Qima"/>
    <n v="54040"/>
    <n v="113372"/>
    <n v="14372"/>
    <n v="1980"/>
    <n v="0"/>
    <m/>
    <x v="1"/>
    <n v="732"/>
    <x v="0"/>
    <n v="54"/>
    <x v="0"/>
    <n v="31"/>
  </r>
  <r>
    <s v="1000000901"/>
    <s v="27206112100406"/>
    <n v="1"/>
    <s v="هدي سلامه سعيد ناصر "/>
    <s v="10000009"/>
    <s v="Bucket 2"/>
    <s v="Bucket 2"/>
    <x v="1"/>
    <s v="Qima"/>
    <n v="53635"/>
    <n v="68140"/>
    <n v="14660"/>
    <n v="6685"/>
    <n v="0"/>
    <m/>
    <x v="1"/>
    <n v="732"/>
    <x v="0"/>
    <n v="54"/>
    <x v="0"/>
    <n v="31"/>
  </r>
  <r>
    <s v="1000222401"/>
    <s v="29502028801038"/>
    <n v="2"/>
    <s v="عادل خضر محمد ابو عزيزة"/>
    <s v="10002224"/>
    <s v="Bucket 4"/>
    <s v="Bucket 4"/>
    <x v="1"/>
    <s v="Qima"/>
    <n v="53070"/>
    <n v="93562"/>
    <n v="15322"/>
    <n v="3260"/>
    <n v="0"/>
    <m/>
    <x v="1"/>
    <n v="732"/>
    <x v="0"/>
    <n v="54"/>
    <x v="0"/>
    <n v="31"/>
  </r>
  <r>
    <s v="1000222402"/>
    <s v="29502028801038"/>
    <n v="2"/>
    <s v="عادل خضر محمد ابو عزيزة"/>
    <s v="10002224"/>
    <s v="Bucket 4"/>
    <s v="Bucket 4"/>
    <x v="1"/>
    <s v="Qima"/>
    <n v="53070"/>
    <n v="93499"/>
    <n v="15259"/>
    <n v="3260"/>
    <n v="0"/>
    <m/>
    <x v="1"/>
    <n v="732"/>
    <x v="0"/>
    <n v="54"/>
    <x v="0"/>
    <n v="31"/>
  </r>
  <r>
    <s v="1000132201"/>
    <s v="29111270200678"/>
    <n v="1"/>
    <s v="عمر عصام محمد جلال بيومي فرغلي"/>
    <s v="10001322"/>
    <s v="Bucket 5"/>
    <s v="Bucket 5"/>
    <x v="1"/>
    <s v="Qima"/>
    <n v="53070"/>
    <n v="92478"/>
    <n v="17498"/>
    <n v="3260"/>
    <n v="0"/>
    <m/>
    <x v="2"/>
    <n v="772"/>
    <x v="0"/>
    <n v="54"/>
    <x v="0"/>
    <n v="31"/>
  </r>
  <r>
    <s v="1000047803"/>
    <s v="28303100101201"/>
    <n v="2"/>
    <s v="اميره حافظ محمد موسى"/>
    <s v="10000478"/>
    <s v="Bucket 3"/>
    <s v="Bucket 3"/>
    <x v="1"/>
    <s v="Qima"/>
    <n v="52730"/>
    <n v="71798"/>
    <n v="18298"/>
    <n v="5350"/>
    <n v="0"/>
    <m/>
    <x v="1"/>
    <n v="732"/>
    <x v="0"/>
    <n v="54"/>
    <x v="0"/>
    <n v="31"/>
  </r>
  <r>
    <s v="1000048202"/>
    <s v="27311071402417"/>
    <n v="2"/>
    <s v="وليد عبد الله جوده عبد المطلب"/>
    <s v="10000482"/>
    <s v="Bucket 5"/>
    <s v="Bucket 5"/>
    <x v="1"/>
    <s v="Qima"/>
    <n v="51350"/>
    <n v="73370"/>
    <n v="26570"/>
    <n v="4680"/>
    <n v="0"/>
    <m/>
    <x v="3"/>
    <m/>
    <x v="0"/>
    <n v="54"/>
    <x v="0"/>
    <n v="31"/>
  </r>
  <r>
    <s v="1000346401"/>
    <s v="28305101300308"/>
    <n v="1"/>
    <s v="سالي محمد انور عبدالحليم "/>
    <s v="10003464"/>
    <s v="Bucket 5"/>
    <s v="Bucket 5"/>
    <x v="1"/>
    <s v="Qima"/>
    <n v="51270"/>
    <n v="95547"/>
    <n v="17807"/>
    <n v="2990"/>
    <n v="0"/>
    <m/>
    <x v="4"/>
    <n v="763"/>
    <x v="0"/>
    <n v="54"/>
    <x v="0"/>
    <n v="31"/>
  </r>
  <r>
    <s v="1000265301"/>
    <s v="27103312800191"/>
    <n v="1"/>
    <s v="محمد دردير سليمان محمود"/>
    <s v="10002653"/>
    <s v="Bucket 6"/>
    <s v="Bucket 5"/>
    <x v="1"/>
    <s v="Qima"/>
    <n v="51210"/>
    <n v="71458"/>
    <n v="38338"/>
    <n v="5520"/>
    <n v="5000"/>
    <d v="2025-10-17T00:00:00"/>
    <x v="3"/>
    <m/>
    <x v="0"/>
    <n v="54"/>
    <x v="0"/>
    <n v="31"/>
  </r>
  <r>
    <s v="1000872701"/>
    <s v="28001080104539"/>
    <n v="2"/>
    <s v="تامر اسامه على كمال عبدالحفيظ "/>
    <s v="10008727"/>
    <s v="Bucket 6"/>
    <s v="Current"/>
    <x v="1"/>
    <s v="Qima"/>
    <n v="50955"/>
    <n v="89276"/>
    <n v="24076"/>
    <n v="3260"/>
    <n v="23675"/>
    <d v="2025-10-31T00:00:00"/>
    <x v="1"/>
    <n v="732"/>
    <x v="0"/>
    <n v="54"/>
    <x v="0"/>
    <n v="31"/>
  </r>
  <r>
    <s v="1000798301"/>
    <s v="29105043400296"/>
    <n v="1"/>
    <s v="عمار محمد عادل محمد فايد"/>
    <s v="10007983"/>
    <s v="Bucket 6"/>
    <s v="Bucket 4"/>
    <x v="1"/>
    <s v="Qima"/>
    <n v="49266"/>
    <n v="60443"/>
    <n v="34768"/>
    <n v="5135"/>
    <n v="16000"/>
    <d v="2025-10-19T00:00:00"/>
    <x v="1"/>
    <n v="732"/>
    <x v="0"/>
    <n v="54"/>
    <x v="0"/>
    <n v="31"/>
  </r>
  <r>
    <s v="1000714401"/>
    <s v="28004091800994"/>
    <n v="1"/>
    <s v="حسام خليل عطاالله المزين"/>
    <s v="10007144"/>
    <s v="Charged-off"/>
    <s v="Charged-off"/>
    <x v="0"/>
    <s v="Qima"/>
    <n v="48386"/>
    <n v="70520"/>
    <n v="23240"/>
    <n v="2955"/>
    <n v="0"/>
    <m/>
    <x v="2"/>
    <n v="772"/>
    <x v="0"/>
    <n v="54"/>
    <x v="0"/>
    <n v="31"/>
  </r>
  <r>
    <s v="1000734401"/>
    <s v="26804181701218"/>
    <n v="2"/>
    <s v="ايمن هنداوي عبدالعزيز هنداوي "/>
    <s v="10007344"/>
    <s v="Bucket 3"/>
    <s v="Bucket 2"/>
    <x v="1"/>
    <s v="Qima"/>
    <n v="48015"/>
    <n v="69136"/>
    <n v="11776"/>
    <n v="3585"/>
    <n v="3853"/>
    <d v="2025-10-17T00:00:00"/>
    <x v="2"/>
    <n v="772"/>
    <x v="0"/>
    <n v="54"/>
    <x v="0"/>
    <n v="31"/>
  </r>
  <r>
    <s v="1000358901"/>
    <s v="28411250100456"/>
    <n v="2"/>
    <s v="محمد عطيه امين محمد عطا "/>
    <s v="10003589"/>
    <s v="Charged-off"/>
    <s v="Charged-off"/>
    <x v="0"/>
    <s v="Qima"/>
    <n v="47345"/>
    <n v="91258"/>
    <n v="23258"/>
    <n v="2720"/>
    <n v="0"/>
    <m/>
    <x v="1"/>
    <n v="732"/>
    <x v="0"/>
    <n v="54"/>
    <x v="0"/>
    <n v="31"/>
  </r>
  <r>
    <s v="1000072201"/>
    <s v="27004050201837"/>
    <n v="1"/>
    <s v="احمد عبدالسميع محمد حلاوة "/>
    <s v="10000722"/>
    <s v="Bucket 5"/>
    <s v="Bucket 5"/>
    <x v="1"/>
    <s v="Qima"/>
    <n v="47250"/>
    <n v="62777"/>
    <n v="37097"/>
    <n v="6420"/>
    <n v="0"/>
    <m/>
    <x v="4"/>
    <n v="763"/>
    <x v="0"/>
    <n v="54"/>
    <x v="0"/>
    <n v="31"/>
  </r>
  <r>
    <s v="1000726502"/>
    <s v="27108241301611"/>
    <n v="3"/>
    <s v="عماد عبده ابراهيم محمد "/>
    <s v="10007265"/>
    <s v="Charged-off"/>
    <s v="Charged-off"/>
    <x v="0"/>
    <s v="Qima"/>
    <n v="46695"/>
    <n v="76748"/>
    <n v="27548"/>
    <n v="3075"/>
    <n v="0"/>
    <m/>
    <x v="3"/>
    <m/>
    <x v="0"/>
    <n v="54"/>
    <x v="0"/>
    <n v="31"/>
  </r>
  <r>
    <s v="1000388901"/>
    <s v="28510052601715"/>
    <n v="1"/>
    <s v="محمود يونس جابر عبدالرحيم "/>
    <s v="10003889"/>
    <s v="Bucket 4"/>
    <s v="Bucket 4"/>
    <x v="1"/>
    <s v="Qima"/>
    <n v="45845"/>
    <n v="83504"/>
    <n v="12784"/>
    <n v="2720"/>
    <n v="0"/>
    <m/>
    <x v="3"/>
    <m/>
    <x v="0"/>
    <n v="54"/>
    <x v="0"/>
    <n v="31"/>
  </r>
  <r>
    <s v="1000694901"/>
    <s v="27608190201775"/>
    <n v="1"/>
    <s v="مصطفى حسن على مصطفى "/>
    <s v="10006949"/>
    <s v="Bucket 4"/>
    <s v="Bucket 4"/>
    <x v="1"/>
    <s v="Qima"/>
    <n v="45585"/>
    <n v="61329"/>
    <n v="12429"/>
    <n v="3260"/>
    <n v="0"/>
    <m/>
    <x v="1"/>
    <n v="732"/>
    <x v="0"/>
    <n v="54"/>
    <x v="0"/>
    <n v="31"/>
  </r>
  <r>
    <s v="1000741201"/>
    <s v="27309053100051"/>
    <n v="1"/>
    <s v="محمد عبدالهادي حسين احمد "/>
    <s v="10007412"/>
    <s v="Bucket 4"/>
    <s v="Bucket 2"/>
    <x v="1"/>
    <s v="Qima"/>
    <n v="42241"/>
    <n v="65327"/>
    <n v="5057"/>
    <n v="1470"/>
    <n v="2030"/>
    <d v="2025-10-26T00:00:00"/>
    <x v="2"/>
    <n v="772"/>
    <x v="0"/>
    <n v="54"/>
    <x v="0"/>
    <n v="31"/>
  </r>
  <r>
    <s v="1000184401"/>
    <s v="29204071201892"/>
    <n v="1"/>
    <s v="محمد رمضان احمدالنبوى عثمان نافع "/>
    <s v="10001844"/>
    <s v="Charged-off"/>
    <s v="Charged-off"/>
    <x v="0"/>
    <s v="Qima"/>
    <n v="41545"/>
    <n v="63107"/>
    <n v="35177"/>
    <n v="3990"/>
    <n v="0"/>
    <m/>
    <x v="4"/>
    <n v="763"/>
    <x v="0"/>
    <n v="54"/>
    <x v="0"/>
    <n v="31"/>
  </r>
  <r>
    <s v="1000631401"/>
    <s v="28608091300056"/>
    <n v="1"/>
    <s v="رامي محمد صلاح السيد احمد"/>
    <s v="10006314"/>
    <s v="Charged-off"/>
    <s v="Charged-off"/>
    <x v="0"/>
    <s v="Qima"/>
    <n v="41515"/>
    <n v="71644"/>
    <n v="22684"/>
    <n v="2720"/>
    <n v="0"/>
    <m/>
    <x v="3"/>
    <m/>
    <x v="0"/>
    <n v="54"/>
    <x v="0"/>
    <n v="31"/>
  </r>
  <r>
    <s v="1000967101"/>
    <s v="29801010123552"/>
    <n v="1"/>
    <s v="مصطفى عماد عبد العزيز عريبه"/>
    <s v="10009671"/>
    <s v="Bucket 4"/>
    <s v="Bucket 2"/>
    <x v="1"/>
    <s v="Qima"/>
    <n v="41267"/>
    <n v="60958"/>
    <n v="11552"/>
    <n v="3295"/>
    <n v="7350"/>
    <d v="2025-10-30T00:00:00"/>
    <x v="1"/>
    <n v="732"/>
    <x v="0"/>
    <n v="54"/>
    <x v="0"/>
    <n v="31"/>
  </r>
  <r>
    <s v="1000044101"/>
    <s v="28003092100353"/>
    <n v="1"/>
    <s v="محمد ماهر عبدالجواد عبدربه"/>
    <s v="10000441"/>
    <s v="Charged-off"/>
    <s v="Charged-off"/>
    <x v="0"/>
    <s v="Qima"/>
    <n v="41255"/>
    <n v="75619"/>
    <n v="19269"/>
    <n v="2450"/>
    <n v="0"/>
    <m/>
    <x v="2"/>
    <n v="772"/>
    <x v="0"/>
    <n v="54"/>
    <x v="0"/>
    <n v="31"/>
  </r>
  <r>
    <s v="1000823002"/>
    <s v="28308101300293"/>
    <n v="2"/>
    <s v="احمد محمد عبدالحى عبدالهادي "/>
    <s v="10008230"/>
    <s v="Bucket 6"/>
    <s v="Bucket 6"/>
    <x v="1"/>
    <s v="Qima"/>
    <n v="40535"/>
    <n v="68120"/>
    <n v="19160"/>
    <n v="2720"/>
    <n v="0"/>
    <m/>
    <x v="3"/>
    <m/>
    <x v="0"/>
    <n v="54"/>
    <x v="0"/>
    <n v="31"/>
  </r>
  <r>
    <s v="1000006801"/>
    <s v="27508100101373"/>
    <n v="2"/>
    <s v="سعد ابراهيم احمد عبدالله"/>
    <s v="10000068"/>
    <s v="Charged-off"/>
    <s v="Charged-off"/>
    <x v="0"/>
    <s v="Qima"/>
    <n v="40045"/>
    <n v="63473"/>
    <n v="29973"/>
    <n v="3350"/>
    <n v="0"/>
    <m/>
    <x v="2"/>
    <n v="772"/>
    <x v="0"/>
    <n v="54"/>
    <x v="0"/>
    <n v="31"/>
  </r>
  <r>
    <s v="1000006802"/>
    <s v="27508100101373"/>
    <n v="2"/>
    <s v="سعد ابراهيم احمد عبدالله"/>
    <s v="10000068"/>
    <s v="Charged-off"/>
    <s v="Charged-off"/>
    <x v="0"/>
    <s v="Qima"/>
    <n v="40045"/>
    <n v="63518"/>
    <n v="30018"/>
    <n v="3350"/>
    <n v="0"/>
    <m/>
    <x v="2"/>
    <n v="772"/>
    <x v="0"/>
    <n v="54"/>
    <x v="0"/>
    <n v="31"/>
  </r>
  <r>
    <s v="1000348501"/>
    <s v="27904150202335"/>
    <n v="2"/>
    <s v="محمد مصطفى مختار شحاته"/>
    <s v="10003485"/>
    <s v="Bucket 3"/>
    <s v="Current"/>
    <x v="1"/>
    <s v="Qima"/>
    <n v="39785"/>
    <n v="69159"/>
    <n v="7909"/>
    <n v="2450"/>
    <n v="7909"/>
    <d v="2025-10-14T00:00:00"/>
    <x v="1"/>
    <n v="732"/>
    <x v="0"/>
    <n v="54"/>
    <x v="0"/>
    <n v="31"/>
  </r>
  <r>
    <s v="1000692401"/>
    <s v="28708170200533"/>
    <n v="1"/>
    <s v="عمرو سعيد عبد المنعم اسماعيل"/>
    <s v="10006924"/>
    <s v="Charged-off"/>
    <s v="Charged-off"/>
    <x v="0"/>
    <s v="Qima"/>
    <n v="39565"/>
    <n v="59482"/>
    <n v="35392"/>
    <n v="4015"/>
    <n v="0"/>
    <m/>
    <x v="4"/>
    <n v="763"/>
    <x v="0"/>
    <n v="54"/>
    <x v="0"/>
    <n v="31"/>
  </r>
  <r>
    <s v="1000823001"/>
    <s v="28308101300293"/>
    <n v="2"/>
    <s v="احمد محمد عبدالحى عبدالهادي "/>
    <s v="10008230"/>
    <s v="Bucket 5"/>
    <s v="Bucket 5"/>
    <x v="1"/>
    <s v="Qima"/>
    <n v="39515"/>
    <n v="65416"/>
    <n v="16456"/>
    <n v="2720"/>
    <n v="0"/>
    <m/>
    <x v="3"/>
    <m/>
    <x v="0"/>
    <n v="54"/>
    <x v="0"/>
    <n v="31"/>
  </r>
  <r>
    <s v="1000206201"/>
    <s v="27504101200761"/>
    <n v="1"/>
    <s v="مني ابو مسلم زكي محمد "/>
    <s v="10002062"/>
    <s v="Charged-off"/>
    <s v="Charged-off"/>
    <x v="0"/>
    <s v="Qima"/>
    <n v="39094"/>
    <n v="71644"/>
    <n v="17824"/>
    <n v="2340"/>
    <n v="0"/>
    <m/>
    <x v="3"/>
    <m/>
    <x v="0"/>
    <n v="54"/>
    <x v="0"/>
    <n v="31"/>
  </r>
  <r>
    <s v="1000936701"/>
    <s v="29006250101411"/>
    <n v="3"/>
    <s v="هشام رضا سيد احمد الغزالي"/>
    <s v="10009367"/>
    <s v="Charged-off"/>
    <s v="Charged-off"/>
    <x v="0"/>
    <s v="Qima"/>
    <n v="38884"/>
    <n v="65745"/>
    <n v="24592"/>
    <n v="2745"/>
    <n v="0"/>
    <m/>
    <x v="1"/>
    <n v="732"/>
    <x v="0"/>
    <n v="54"/>
    <x v="0"/>
    <n v="31"/>
  </r>
  <r>
    <s v="1000173901"/>
    <s v="26911012501472"/>
    <n v="1"/>
    <s v="عبدالعزيز لطفى مرسى على "/>
    <s v="10001739"/>
    <s v="Bucket 5"/>
    <s v="Bucket 5"/>
    <x v="1"/>
    <s v="Qima"/>
    <n v="38375"/>
    <n v="56865"/>
    <n v="20015"/>
    <n v="3350"/>
    <n v="0"/>
    <m/>
    <x v="1"/>
    <n v="732"/>
    <x v="0"/>
    <n v="54"/>
    <x v="0"/>
    <n v="31"/>
  </r>
  <r>
    <s v="1000766301"/>
    <s v="28008202801028"/>
    <n v="1"/>
    <s v="نيفين نبيل حفيظ تادرس"/>
    <s v="10007663"/>
    <s v="Bucket 5"/>
    <s v="Bucket 4"/>
    <x v="1"/>
    <s v="Qima"/>
    <n v="38215"/>
    <n v="59355"/>
    <n v="6755"/>
    <n v="1315"/>
    <n v="1315"/>
    <d v="2025-10-29T00:00:00"/>
    <x v="2"/>
    <n v="772"/>
    <x v="0"/>
    <n v="54"/>
    <x v="0"/>
    <n v="31"/>
  </r>
  <r>
    <s v="1000267601"/>
    <s v="27505071200261"/>
    <n v="1"/>
    <s v="نيفين فؤاد عبد المسيح إبراهيم "/>
    <s v="10002676"/>
    <s v="Bucket 6"/>
    <s v="Bucket 6"/>
    <x v="1"/>
    <s v="Qima"/>
    <n v="37890"/>
    <n v="72798"/>
    <n v="16248"/>
    <n v="2175"/>
    <n v="0"/>
    <m/>
    <x v="4"/>
    <n v="763"/>
    <x v="0"/>
    <n v="54"/>
    <x v="0"/>
    <n v="31"/>
  </r>
  <r>
    <s v="1000797601"/>
    <s v="28404221202014"/>
    <n v="1"/>
    <s v="محمد فوزي عبد الحميد المشد"/>
    <s v="10007976"/>
    <s v="Bucket 4"/>
    <s v="Bucket 3"/>
    <x v="1"/>
    <s v="Qima"/>
    <n v="37430"/>
    <n v="47410"/>
    <n v="8565"/>
    <n v="2285"/>
    <n v="0"/>
    <m/>
    <x v="3"/>
    <m/>
    <x v="0"/>
    <n v="54"/>
    <x v="0"/>
    <n v="31"/>
  </r>
  <r>
    <s v="1000438101"/>
    <s v="27202012103071"/>
    <n v="1"/>
    <s v="اسامه محمود احمد عنيبه "/>
    <s v="10004381"/>
    <s v="Bucket 5"/>
    <s v="Bucket 5"/>
    <x v="1"/>
    <s v="Qima"/>
    <n v="37305"/>
    <n v="67885"/>
    <n v="11335"/>
    <n v="2175"/>
    <n v="0"/>
    <m/>
    <x v="1"/>
    <n v="732"/>
    <x v="0"/>
    <n v="54"/>
    <x v="0"/>
    <n v="31"/>
  </r>
  <r>
    <s v="1000358902"/>
    <s v="28411250100456"/>
    <n v="2"/>
    <s v="محمد عطيه امين محمد عطا "/>
    <s v="10003589"/>
    <s v="Charged-off"/>
    <s v="Charged-off"/>
    <x v="0"/>
    <s v="Qima"/>
    <n v="36870"/>
    <n v="61533"/>
    <n v="24013"/>
    <n v="2680"/>
    <n v="0"/>
    <m/>
    <x v="1"/>
    <n v="732"/>
    <x v="0"/>
    <n v="54"/>
    <x v="0"/>
    <n v="31"/>
  </r>
  <r>
    <s v="1000441701"/>
    <s v="27202091201775"/>
    <n v="1"/>
    <s v="محمد لطفى محمد سعد جندى "/>
    <s v="10004417"/>
    <s v="Charged-off"/>
    <s v="Charged-off"/>
    <x v="0"/>
    <s v="Qima"/>
    <n v="36870"/>
    <n v="61533"/>
    <n v="24013"/>
    <n v="2680"/>
    <n v="0"/>
    <m/>
    <x v="2"/>
    <n v="772"/>
    <x v="0"/>
    <n v="54"/>
    <x v="0"/>
    <n v="31"/>
  </r>
  <r>
    <s v="1000204901"/>
    <s v="27507051401602"/>
    <n v="1"/>
    <s v="جيهان محمد علي عبدالرازق "/>
    <s v="10002049"/>
    <s v="Charged-off"/>
    <s v="Charged-off"/>
    <x v="0"/>
    <s v="Qima"/>
    <n v="36695"/>
    <n v="67139"/>
    <n v="17114"/>
    <n v="2175"/>
    <n v="0"/>
    <m/>
    <x v="4"/>
    <n v="763"/>
    <x v="0"/>
    <n v="54"/>
    <x v="0"/>
    <n v="31"/>
  </r>
  <r>
    <s v="1000753301"/>
    <s v="27111290200651"/>
    <n v="1"/>
    <s v="محمد مرسي محمد مرسي"/>
    <s v="10007533"/>
    <s v="Bucket 5"/>
    <s v="Bucket 5"/>
    <x v="1"/>
    <s v="Qima"/>
    <n v="36675"/>
    <n v="54632"/>
    <n v="13592"/>
    <n v="2565"/>
    <n v="0"/>
    <m/>
    <x v="3"/>
    <m/>
    <x v="0"/>
    <n v="54"/>
    <x v="0"/>
    <n v="31"/>
  </r>
  <r>
    <s v="1000089801"/>
    <s v="28309270101671"/>
    <n v="1"/>
    <s v="محمد رافت محمد حسن"/>
    <s v="10000898"/>
    <s v="Charged-off"/>
    <s v="Charged-off"/>
    <x v="0"/>
    <s v="Qima"/>
    <n v="36060"/>
    <n v="67339"/>
    <n v="19489"/>
    <n v="2175"/>
    <n v="0"/>
    <m/>
    <x v="1"/>
    <n v="732"/>
    <x v="0"/>
    <n v="54"/>
    <x v="0"/>
    <n v="31"/>
  </r>
  <r>
    <s v="1000195301"/>
    <s v="28609022600494"/>
    <n v="1"/>
    <s v="احمد طارق سريا محمود محمدين"/>
    <s v="10001953"/>
    <s v="Bucket 5"/>
    <s v="Bucket 5"/>
    <x v="1"/>
    <s v="Qima"/>
    <n v="36060"/>
    <n v="65160"/>
    <n v="12960"/>
    <n v="2175"/>
    <n v="2500"/>
    <d v="2025-10-30T00:00:00"/>
    <x v="2"/>
    <n v="772"/>
    <x v="0"/>
    <n v="54"/>
    <x v="0"/>
    <n v="31"/>
  </r>
  <r>
    <s v="1000305501"/>
    <s v="27009260103716"/>
    <n v="2"/>
    <s v="محمد فوزي احمد سيد "/>
    <s v="10003055"/>
    <s v="Bucket 3"/>
    <s v="Bucket 3"/>
    <x v="1"/>
    <s v="Qima"/>
    <n v="35400"/>
    <n v="61814"/>
    <n v="7439"/>
    <n v="2175"/>
    <n v="0"/>
    <m/>
    <x v="4"/>
    <n v="763"/>
    <x v="0"/>
    <n v="54"/>
    <x v="0"/>
    <n v="31"/>
  </r>
  <r>
    <s v="1000305502"/>
    <s v="27009260103716"/>
    <n v="2"/>
    <s v="محمد فوزي احمد سيد "/>
    <s v="10003055"/>
    <s v="Bucket 3"/>
    <s v="Bucket 3"/>
    <x v="1"/>
    <s v="Qima"/>
    <n v="35400"/>
    <n v="61814"/>
    <n v="7439"/>
    <n v="2175"/>
    <n v="0"/>
    <m/>
    <x v="4"/>
    <n v="763"/>
    <x v="0"/>
    <n v="54"/>
    <x v="0"/>
    <n v="31"/>
  </r>
  <r>
    <s v="1000182501"/>
    <s v="28109152301038"/>
    <n v="1"/>
    <s v="حسام الدين حمدى ضيف الله عبدالجليل"/>
    <s v="10001825"/>
    <s v="Bucket 5"/>
    <s v="Bucket 5"/>
    <x v="1"/>
    <s v="Qima"/>
    <n v="35400"/>
    <n v="61968"/>
    <n v="11943"/>
    <n v="2175"/>
    <n v="1200"/>
    <d v="2025-10-19T00:00:00"/>
    <x v="4"/>
    <n v="763"/>
    <x v="0"/>
    <n v="54"/>
    <x v="0"/>
    <n v="31"/>
  </r>
  <r>
    <s v="1000254701"/>
    <s v="28406161802214"/>
    <n v="1"/>
    <s v="محمد حمدان سعد النيدانى"/>
    <s v="10002547"/>
    <s v="Bucket 4"/>
    <s v="Bucket 4"/>
    <x v="1"/>
    <s v="Qima"/>
    <n v="35400"/>
    <n v="61677"/>
    <n v="9477"/>
    <n v="2175"/>
    <n v="0"/>
    <m/>
    <x v="3"/>
    <m/>
    <x v="0"/>
    <n v="54"/>
    <x v="0"/>
    <n v="31"/>
  </r>
  <r>
    <s v="1000119601"/>
    <s v="28104140201419"/>
    <n v="1"/>
    <s v="محمد همام فريد همام"/>
    <s v="10001196"/>
    <s v="Bucket 4"/>
    <s v="Bucket 4"/>
    <x v="1"/>
    <s v="Qima"/>
    <n v="34710"/>
    <n v="60248"/>
    <n v="10223"/>
    <n v="2175"/>
    <n v="0"/>
    <m/>
    <x v="1"/>
    <n v="732"/>
    <x v="0"/>
    <n v="54"/>
    <x v="0"/>
    <n v="31"/>
  </r>
  <r>
    <s v="1000220201"/>
    <s v="29003120201741"/>
    <n v="1"/>
    <s v="هبه غريب محمود حسين"/>
    <s v="10002202"/>
    <s v="Bucket 3"/>
    <s v="Bucket 3"/>
    <x v="1"/>
    <s v="Qima"/>
    <n v="34710"/>
    <n v="59638"/>
    <n v="7438"/>
    <n v="2175"/>
    <n v="0"/>
    <m/>
    <x v="2"/>
    <n v="772"/>
    <x v="0"/>
    <n v="54"/>
    <x v="0"/>
    <n v="31"/>
  </r>
  <r>
    <s v="1000303301"/>
    <s v="28912298800131"/>
    <n v="1"/>
    <s v="احمد ابو العلا محمد ابو العلا"/>
    <s v="10003033"/>
    <s v="Bucket 6"/>
    <s v="Bucket 6"/>
    <x v="1"/>
    <s v="Qima"/>
    <n v="34560"/>
    <n v="54860"/>
    <n v="20020"/>
    <n v="2680"/>
    <n v="0"/>
    <m/>
    <x v="4"/>
    <n v="763"/>
    <x v="0"/>
    <n v="54"/>
    <x v="0"/>
    <n v="31"/>
  </r>
  <r>
    <s v="1000032305"/>
    <s v="28204072102509"/>
    <n v="5"/>
    <s v="شيماء محمد علي محمد الصوابي "/>
    <s v="10000323"/>
    <s v="Charged-off"/>
    <s v="Charged-off"/>
    <x v="0"/>
    <s v="Qima"/>
    <n v="33760"/>
    <n v="52984"/>
    <n v="26434"/>
    <n v="2950"/>
    <n v="0"/>
    <m/>
    <x v="2"/>
    <n v="772"/>
    <x v="0"/>
    <n v="54"/>
    <x v="0"/>
    <n v="31"/>
  </r>
  <r>
    <s v="1000474001"/>
    <s v="29212191700925"/>
    <n v="1"/>
    <s v="دينا السيد نوح زيد"/>
    <s v="10004740"/>
    <s v="Bucket 4"/>
    <s v="Bucket 3"/>
    <x v="1"/>
    <s v="Qima"/>
    <n v="33714"/>
    <n v="40928"/>
    <n v="23145"/>
    <n v="5930"/>
    <n v="4000"/>
    <d v="2025-10-26T00:00:00"/>
    <x v="3"/>
    <m/>
    <x v="0"/>
    <n v="54"/>
    <x v="0"/>
    <n v="31"/>
  </r>
  <r>
    <s v="1000867901"/>
    <s v="28012210101075"/>
    <n v="2"/>
    <s v="هاني فتحي سعيد احمد عبدالوهاب "/>
    <s v="10008679"/>
    <s v="Bucket 5"/>
    <s v="Bucket 5"/>
    <x v="1"/>
    <s v="Qima"/>
    <n v="33673.54"/>
    <n v="56321.54"/>
    <n v="10646.54"/>
    <n v="2175"/>
    <n v="2000"/>
    <d v="2025-10-02T00:00:00"/>
    <x v="2"/>
    <n v="772"/>
    <x v="0"/>
    <n v="54"/>
    <x v="0"/>
    <n v="31"/>
  </r>
  <r>
    <s v="1000411901"/>
    <s v="29202070101727"/>
    <n v="1"/>
    <s v="ساره محمد عبد العظيم محمد "/>
    <s v="10004119"/>
    <s v="Bucket 4"/>
    <s v="Bucket 3"/>
    <x v="1"/>
    <s v="Qima"/>
    <n v="33330"/>
    <n v="50116"/>
    <n v="12596"/>
    <n v="2680"/>
    <n v="3480"/>
    <d v="2025-10-31T00:00:00"/>
    <x v="1"/>
    <n v="732"/>
    <x v="0"/>
    <n v="54"/>
    <x v="0"/>
    <n v="31"/>
  </r>
  <r>
    <s v="1000628703"/>
    <s v="28211221403459"/>
    <n v="3"/>
    <s v="وائل رمضان عبدالصادق محي العزب "/>
    <s v="10006287"/>
    <s v="Charged-off"/>
    <s v="Charged-off"/>
    <x v="0"/>
    <s v="Qima"/>
    <n v="32940"/>
    <n v="49574"/>
    <n v="29474"/>
    <n v="3350"/>
    <n v="0"/>
    <m/>
    <x v="1"/>
    <n v="732"/>
    <x v="0"/>
    <n v="54"/>
    <x v="0"/>
    <n v="31"/>
  </r>
  <r>
    <s v="1000288701"/>
    <s v="26511041300089"/>
    <n v="1"/>
    <s v="أمال رمضان على على "/>
    <s v="10002887"/>
    <s v="Charged-off"/>
    <s v="Charged-off"/>
    <x v="0"/>
    <s v="Qima"/>
    <n v="32804"/>
    <n v="43469"/>
    <n v="38399"/>
    <n v="5070"/>
    <n v="0"/>
    <m/>
    <x v="4"/>
    <n v="763"/>
    <x v="0"/>
    <n v="54"/>
    <x v="0"/>
    <n v="31"/>
  </r>
  <r>
    <s v="1000751201"/>
    <s v="28010231601148"/>
    <n v="1"/>
    <s v="رحاب عقل يوسف ابراهيم "/>
    <s v="10007512"/>
    <s v="Bucket 6"/>
    <s v="Bucket 4"/>
    <x v="1"/>
    <s v="Qima"/>
    <n v="32475"/>
    <n v="54035"/>
    <n v="14885"/>
    <n v="2175"/>
    <n v="5000"/>
    <d v="2025-10-09T00:00:00"/>
    <x v="2"/>
    <n v="772"/>
    <x v="0"/>
    <n v="54"/>
    <x v="0"/>
    <n v="31"/>
  </r>
  <r>
    <s v="1000348502"/>
    <s v="27904150202335"/>
    <n v="2"/>
    <s v="محمد مصطفى مختار شحاته"/>
    <s v="10003485"/>
    <s v="Bucket 3"/>
    <s v="Current"/>
    <x v="1"/>
    <s v="Qima"/>
    <n v="32115"/>
    <n v="57951"/>
    <n v="6515"/>
    <n v="1905"/>
    <n v="6515"/>
    <d v="2025-10-14T00:00:00"/>
    <x v="1"/>
    <n v="732"/>
    <x v="0"/>
    <n v="54"/>
    <x v="0"/>
    <n v="31"/>
  </r>
  <r>
    <s v="1000123001"/>
    <s v="28902162600698"/>
    <n v="1"/>
    <s v="زكريا محمد زكريا احمد "/>
    <s v="10001230"/>
    <s v="Bucket 3"/>
    <s v="Bucket 3"/>
    <x v="1"/>
    <s v="Qima"/>
    <n v="32025"/>
    <n v="47250"/>
    <n v="6220"/>
    <n v="1865"/>
    <n v="0"/>
    <m/>
    <x v="3"/>
    <m/>
    <x v="0"/>
    <n v="54"/>
    <x v="0"/>
    <n v="31"/>
  </r>
  <r>
    <s v="1000440001"/>
    <s v="27601051600563"/>
    <n v="1"/>
    <s v="فاطمه فتحي السيد عماره"/>
    <s v="10004400"/>
    <s v="Bucket 4"/>
    <s v="Current"/>
    <x v="1"/>
    <s v="Qima"/>
    <n v="31732"/>
    <n v="56217"/>
    <n v="6687"/>
    <n v="1905"/>
    <n v="6687"/>
    <d v="2025-10-16T00:00:00"/>
    <x v="1"/>
    <n v="732"/>
    <x v="0"/>
    <n v="54"/>
    <x v="0"/>
    <n v="31"/>
  </r>
  <r>
    <s v="1000420801"/>
    <s v="28010011809406"/>
    <n v="1"/>
    <s v="الهام احمد محمد محمد سالم"/>
    <s v="10004208"/>
    <s v="Bucket 6"/>
    <s v="Bucket 6"/>
    <x v="1"/>
    <s v="Qima"/>
    <n v="31275"/>
    <n v="48522"/>
    <n v="15692"/>
    <n v="2345"/>
    <n v="1000"/>
    <d v="2025-10-25T00:00:00"/>
    <x v="2"/>
    <n v="772"/>
    <x v="0"/>
    <n v="54"/>
    <x v="0"/>
    <n v="31"/>
  </r>
  <r>
    <s v="1000716001"/>
    <s v="28905292101633"/>
    <n v="1"/>
    <s v="عماد حمدي احمد الزهري"/>
    <s v="10007160"/>
    <s v="Bucket 6"/>
    <s v="Bucket 4"/>
    <x v="1"/>
    <s v="Qima"/>
    <n v="30971"/>
    <n v="48020"/>
    <n v="13170"/>
    <n v="2050"/>
    <n v="5000"/>
    <d v="2025-10-15T00:00:00"/>
    <x v="4"/>
    <n v="763"/>
    <x v="0"/>
    <n v="54"/>
    <x v="0"/>
    <n v="31"/>
  </r>
  <r>
    <s v="1000088901"/>
    <s v="28708081305046"/>
    <n v="1"/>
    <s v="لبنى كامل السيد أحمد السيد"/>
    <s v="10000889"/>
    <s v="Bucket 5"/>
    <s v="Bucket 5"/>
    <x v="1"/>
    <s v="Qima"/>
    <n v="30380"/>
    <n v="53401"/>
    <n v="11491"/>
    <n v="1905"/>
    <n v="0"/>
    <m/>
    <x v="3"/>
    <m/>
    <x v="0"/>
    <n v="54"/>
    <x v="0"/>
    <n v="31"/>
  </r>
  <r>
    <s v="1000122701"/>
    <s v="28608050102819"/>
    <n v="1"/>
    <s v="محمود علي عبدالرحيم ابو دهب"/>
    <s v="10001227"/>
    <s v="Bucket 5"/>
    <s v="Bucket 3"/>
    <x v="1"/>
    <s v="Qima"/>
    <n v="30380"/>
    <n v="52347.5"/>
    <n v="10437.5"/>
    <n v="1905"/>
    <n v="5438"/>
    <d v="2025-10-19T00:00:00"/>
    <x v="1"/>
    <n v="732"/>
    <x v="0"/>
    <n v="54"/>
    <x v="0"/>
    <n v="31"/>
  </r>
  <r>
    <s v="1000104802"/>
    <s v="28709250202207"/>
    <n v="2"/>
    <s v="رانيا جمعه محمد سيد احمد الشريف"/>
    <s v="10001048"/>
    <s v="Bucket 5"/>
    <s v="Bucket 5"/>
    <x v="1"/>
    <s v="Qima"/>
    <n v="29775"/>
    <n v="41358"/>
    <n v="41358"/>
    <n v="10770"/>
    <n v="0"/>
    <m/>
    <x v="1"/>
    <n v="732"/>
    <x v="0"/>
    <n v="54"/>
    <x v="0"/>
    <n v="31"/>
  </r>
  <r>
    <s v="1000517601"/>
    <s v="27209111300257"/>
    <n v="1"/>
    <s v="زكي ابراهيم توفيق عبد الله العوامري"/>
    <s v="10005176"/>
    <s v="Bucket 5"/>
    <s v="Bucket 5"/>
    <x v="1"/>
    <s v="Qima"/>
    <n v="29755"/>
    <n v="51530"/>
    <n v="11525"/>
    <n v="1905"/>
    <n v="0"/>
    <m/>
    <x v="2"/>
    <n v="772"/>
    <x v="0"/>
    <n v="54"/>
    <x v="0"/>
    <n v="31"/>
  </r>
  <r>
    <s v="1000475401"/>
    <s v="27804302101578"/>
    <n v="1"/>
    <s v="اسامه محمد مصطفى ابراهيم"/>
    <s v="10004754"/>
    <s v="Charged-off"/>
    <s v="Charged-off"/>
    <x v="0"/>
    <s v="Qima"/>
    <n v="29235"/>
    <n v="58794"/>
    <n v="14649"/>
    <n v="1635"/>
    <n v="0"/>
    <m/>
    <x v="4"/>
    <n v="763"/>
    <x v="0"/>
    <n v="54"/>
    <x v="0"/>
    <n v="31"/>
  </r>
  <r>
    <s v="1000482004"/>
    <s v="26801150105669"/>
    <n v="4"/>
    <s v="نيفين محمد جمال علي احمد "/>
    <s v="10004820"/>
    <s v="Bucket 5"/>
    <s v="Current"/>
    <x v="1"/>
    <s v="Qima"/>
    <n v="28965"/>
    <n v="54741"/>
    <n v="9683"/>
    <n v="1670"/>
    <n v="9683"/>
    <d v="2025-10-26T00:00:00"/>
    <x v="3"/>
    <m/>
    <x v="0"/>
    <n v="54"/>
    <x v="0"/>
    <n v="31"/>
  </r>
  <r>
    <s v="1000937501"/>
    <s v="28912280100263"/>
    <n v="2"/>
    <s v="اسماء احمد عبدالرحمن احمد "/>
    <s v="10009375"/>
    <s v="Charged-off"/>
    <s v="Charged-off"/>
    <x v="0"/>
    <s v="Qima"/>
    <n v="28920"/>
    <n v="45331"/>
    <n v="22622"/>
    <n v="2525"/>
    <n v="0"/>
    <m/>
    <x v="1"/>
    <n v="732"/>
    <x v="0"/>
    <n v="54"/>
    <x v="0"/>
    <n v="31"/>
  </r>
  <r>
    <s v="1000278401"/>
    <s v="28405071701897"/>
    <n v="2"/>
    <s v="ايمن مصطفى محمود ابوزيد"/>
    <s v="10002784"/>
    <s v="Charged-off"/>
    <s v="Charged-off"/>
    <x v="0"/>
    <s v="Qima"/>
    <n v="28910"/>
    <n v="46892"/>
    <n v="18682"/>
    <n v="2170"/>
    <n v="0"/>
    <m/>
    <x v="4"/>
    <n v="763"/>
    <x v="0"/>
    <n v="54"/>
    <x v="0"/>
    <n v="31"/>
  </r>
  <r>
    <s v="1000933401"/>
    <s v="28308180201157"/>
    <n v="1"/>
    <s v="محمد احمد محمد السباعى "/>
    <s v="10009334"/>
    <s v="Bucket 6"/>
    <s v="Bucket 6"/>
    <x v="1"/>
    <s v="Qima"/>
    <n v="28839"/>
    <n v="56336"/>
    <n v="12215"/>
    <n v="1635"/>
    <n v="0"/>
    <m/>
    <x v="3"/>
    <m/>
    <x v="0"/>
    <n v="54"/>
    <x v="0"/>
    <n v="31"/>
  </r>
  <r>
    <s v="1000487201"/>
    <s v="26906051301053"/>
    <n v="1"/>
    <s v="ابو الفتوح عبدالله جوده منصور "/>
    <s v="10004872"/>
    <s v="Bucket 6"/>
    <s v="Bucket 4"/>
    <x v="1"/>
    <s v="Qima"/>
    <n v="28830"/>
    <n v="55632"/>
    <n v="11487"/>
    <n v="1635"/>
    <n v="4200"/>
    <d v="2025-10-31T00:00:00"/>
    <x v="1"/>
    <n v="732"/>
    <x v="0"/>
    <n v="54"/>
    <x v="0"/>
    <n v="31"/>
  </r>
  <r>
    <s v="1000369101"/>
    <s v="29406020102573"/>
    <n v="1"/>
    <s v="محمد سعيد محمد عبده عبدالرحمن"/>
    <s v="10003691"/>
    <s v="Charged-off"/>
    <s v="Bucket 3"/>
    <x v="0"/>
    <s v="Qima"/>
    <n v="28830"/>
    <n v="57159"/>
    <n v="14649"/>
    <n v="1635"/>
    <n v="10000"/>
    <d v="2025-10-29T00:00:00"/>
    <x v="2"/>
    <n v="772"/>
    <x v="0"/>
    <n v="54"/>
    <x v="0"/>
    <n v="31"/>
  </r>
  <r>
    <s v="1000458901"/>
    <s v="28103302600758"/>
    <n v="1"/>
    <s v="مختار حسانين محمود حسانين "/>
    <s v="10004589"/>
    <s v="Charged-off"/>
    <s v="Charged-off"/>
    <x v="0"/>
    <s v="Qima"/>
    <n v="28460"/>
    <n v="47713"/>
    <n v="17488"/>
    <n v="2015"/>
    <n v="0"/>
    <m/>
    <x v="4"/>
    <n v="763"/>
    <x v="0"/>
    <n v="54"/>
    <x v="0"/>
    <n v="31"/>
  </r>
  <r>
    <s v="1000936702"/>
    <s v="29006250101411"/>
    <n v="3"/>
    <s v="هشام رضا سيد احمد الغزالي"/>
    <s v="10009367"/>
    <s v="Charged-off"/>
    <s v="Charged-off"/>
    <x v="0"/>
    <s v="Qima"/>
    <n v="28460"/>
    <n v="48256"/>
    <n v="18053"/>
    <n v="2015"/>
    <n v="0"/>
    <m/>
    <x v="1"/>
    <n v="732"/>
    <x v="0"/>
    <n v="54"/>
    <x v="0"/>
    <n v="31"/>
  </r>
  <r>
    <s v="1000288501"/>
    <s v="28607142602854"/>
    <n v="3"/>
    <s v="حاتم أحمد السيد أحمد "/>
    <s v="10002885"/>
    <s v="Charged-off"/>
    <s v="Charged-off"/>
    <x v="0"/>
    <s v="Qima"/>
    <n v="28410"/>
    <n v="53991"/>
    <n v="13116"/>
    <n v="1635"/>
    <n v="0"/>
    <m/>
    <x v="2"/>
    <n v="772"/>
    <x v="0"/>
    <n v="54"/>
    <x v="0"/>
    <n v="31"/>
  </r>
  <r>
    <s v="1000284601"/>
    <s v="30101200203335"/>
    <n v="1"/>
    <s v="محمدمحمد محمد محمد احمد"/>
    <s v="10002846"/>
    <s v="Bucket 6"/>
    <s v="Bucket 6"/>
    <x v="1"/>
    <s v="Qima"/>
    <n v="27970"/>
    <n v="53088"/>
    <n v="12213"/>
    <n v="1635"/>
    <n v="0"/>
    <m/>
    <x v="3"/>
    <m/>
    <x v="0"/>
    <n v="54"/>
    <x v="0"/>
    <n v="31"/>
  </r>
  <r>
    <s v="1000247701"/>
    <s v="26801070102863"/>
    <n v="1"/>
    <s v="رضا زينهم عبد المجيد بيومي معروف "/>
    <s v="10002477"/>
    <s v="Charged-off"/>
    <s v="Charged-off"/>
    <x v="0"/>
    <s v="Qima"/>
    <n v="27970"/>
    <n v="53659"/>
    <n v="14419"/>
    <n v="1635"/>
    <n v="0"/>
    <m/>
    <x v="1"/>
    <n v="732"/>
    <x v="0"/>
    <n v="54"/>
    <x v="0"/>
    <n v="31"/>
  </r>
  <r>
    <s v="1000253601"/>
    <s v="28702020100125"/>
    <n v="1"/>
    <s v="ساره محمد عبدالعظيم محمد مسعود"/>
    <s v="10002536"/>
    <s v="Charged-off"/>
    <s v="Charged-off"/>
    <x v="0"/>
    <s v="Qima"/>
    <n v="27970"/>
    <n v="53295"/>
    <n v="14055"/>
    <n v="1635"/>
    <n v="0"/>
    <m/>
    <x v="2"/>
    <n v="772"/>
    <x v="0"/>
    <n v="54"/>
    <x v="0"/>
    <n v="31"/>
  </r>
  <r>
    <s v="1000432901"/>
    <s v="27109241500369"/>
    <n v="2"/>
    <s v="سوزان فتحي يوسف نعيم"/>
    <s v="10004329"/>
    <s v="Bucket 4"/>
    <s v="Bucket 2"/>
    <x v="1"/>
    <s v="Qima"/>
    <n v="27970"/>
    <n v="50973"/>
    <n v="6859"/>
    <n v="1635"/>
    <n v="3602"/>
    <d v="2025-10-26T00:00:00"/>
    <x v="4"/>
    <n v="763"/>
    <x v="0"/>
    <n v="54"/>
    <x v="0"/>
    <n v="31"/>
  </r>
  <r>
    <s v="1000329701"/>
    <s v="27609250103065"/>
    <n v="1"/>
    <s v="منال محي الدين ابراهيم محمد حموده "/>
    <s v="10003297"/>
    <s v="Bucket 6"/>
    <s v="Bucket 6"/>
    <x v="1"/>
    <s v="Qima"/>
    <n v="27920"/>
    <n v="51171"/>
    <n v="10296"/>
    <n v="1635"/>
    <n v="0"/>
    <m/>
    <x v="4"/>
    <n v="763"/>
    <x v="0"/>
    <n v="54"/>
    <x v="0"/>
    <n v="31"/>
  </r>
  <r>
    <s v="1000867502"/>
    <s v="27611240100658"/>
    <n v="3"/>
    <s v="تامر حمدي مصطفى اسماعيل "/>
    <s v="10008675"/>
    <s v="Bucket 6"/>
    <s v="Current"/>
    <x v="1"/>
    <s v="Qima"/>
    <n v="27885"/>
    <n v="40617"/>
    <n v="19177"/>
    <n v="2680"/>
    <n v="18989"/>
    <d v="2025-10-04T00:00:00"/>
    <x v="1"/>
    <n v="732"/>
    <x v="0"/>
    <n v="54"/>
    <x v="0"/>
    <n v="31"/>
  </r>
  <r>
    <s v="1000284401"/>
    <s v="29006120102378"/>
    <n v="1"/>
    <s v="محمود حنفى على سليم "/>
    <s v="10002844"/>
    <s v="Bucket 6"/>
    <s v="Bucket 6"/>
    <x v="1"/>
    <s v="Qima"/>
    <n v="27698"/>
    <n v="50949"/>
    <n v="10074"/>
    <n v="1635"/>
    <n v="0"/>
    <m/>
    <x v="3"/>
    <m/>
    <x v="0"/>
    <n v="54"/>
    <x v="0"/>
    <n v="31"/>
  </r>
  <r>
    <s v="1000810601"/>
    <s v="28210182402133"/>
    <n v="1"/>
    <s v="محمد عبدالله كمال محمد "/>
    <s v="10008106"/>
    <s v="Bucket 5"/>
    <s v="Bucket 4"/>
    <x v="1"/>
    <s v="Qima"/>
    <n v="27598"/>
    <n v="43871"/>
    <n v="9581"/>
    <n v="1905"/>
    <n v="0"/>
    <m/>
    <x v="1"/>
    <n v="732"/>
    <x v="0"/>
    <n v="54"/>
    <x v="0"/>
    <n v="31"/>
  </r>
  <r>
    <s v="1000936703"/>
    <s v="29006250101411"/>
    <n v="3"/>
    <s v="هشام رضا سيد احمد الغزالي"/>
    <s v="10009367"/>
    <s v="Charged-off"/>
    <s v="Charged-off"/>
    <x v="0"/>
    <s v="Qima"/>
    <n v="27531"/>
    <n v="46286"/>
    <n v="17058"/>
    <n v="1950"/>
    <n v="0"/>
    <m/>
    <x v="1"/>
    <n v="732"/>
    <x v="0"/>
    <n v="54"/>
    <x v="0"/>
    <n v="31"/>
  </r>
  <r>
    <s v="1000142601"/>
    <s v="27303261801455"/>
    <n v="1"/>
    <s v="سامح يونان عبدالسيد صليب"/>
    <s v="10001426"/>
    <s v="Charged-off"/>
    <s v="Charged-off"/>
    <x v="0"/>
    <s v="Qima"/>
    <n v="27515"/>
    <n v="52254"/>
    <n v="14649"/>
    <n v="1635"/>
    <n v="0"/>
    <m/>
    <x v="2"/>
    <n v="772"/>
    <x v="0"/>
    <n v="54"/>
    <x v="0"/>
    <n v="31"/>
  </r>
  <r>
    <s v="1000014103"/>
    <s v="28603190103163"/>
    <n v="6"/>
    <s v="ماهينور عمر ابراهيم حسني "/>
    <s v="10000141"/>
    <s v="Bucket 3"/>
    <s v="Bucket 2"/>
    <x v="1"/>
    <s v="Qima"/>
    <n v="27141"/>
    <n v="43679"/>
    <n v="6379"/>
    <n v="1865"/>
    <n v="3723"/>
    <d v="2025-10-11T00:00:00"/>
    <x v="1"/>
    <n v="732"/>
    <x v="0"/>
    <n v="54"/>
    <x v="0"/>
    <n v="31"/>
  </r>
  <r>
    <s v="1000279801"/>
    <s v="29804071401198"/>
    <n v="1"/>
    <s v="احمد سيد رجب على سالم أبو حطب"/>
    <s v="10002798"/>
    <s v="Bucket 4"/>
    <s v="Bucket 2"/>
    <x v="1"/>
    <s v="Qima"/>
    <n v="27040"/>
    <n v="47697"/>
    <n v="6822"/>
    <n v="1635"/>
    <n v="3300"/>
    <d v="2025-10-28T00:00:00"/>
    <x v="4"/>
    <n v="763"/>
    <x v="0"/>
    <n v="54"/>
    <x v="0"/>
    <n v="31"/>
  </r>
  <r>
    <s v="1000445101"/>
    <s v="27004170100201"/>
    <n v="1"/>
    <s v="نجوي عبدالغفار عبدالجيد محمد "/>
    <s v="10004451"/>
    <s v="Bucket 3"/>
    <s v="Bucket 3"/>
    <x v="1"/>
    <s v="Qima"/>
    <n v="27040"/>
    <n v="46717"/>
    <n v="4207"/>
    <n v="1635"/>
    <n v="0"/>
    <m/>
    <x v="3"/>
    <m/>
    <x v="0"/>
    <n v="54"/>
    <x v="0"/>
    <n v="31"/>
  </r>
  <r>
    <s v="1000139601"/>
    <s v="27707161500273"/>
    <n v="1"/>
    <s v="محمود صابر محمود محمود "/>
    <s v="10001396"/>
    <s v="Charged-off"/>
    <s v="Charged-off"/>
    <x v="0"/>
    <s v="Qima"/>
    <n v="27040"/>
    <n v="50157"/>
    <n v="14187"/>
    <n v="1635"/>
    <n v="0"/>
    <m/>
    <x v="1"/>
    <n v="732"/>
    <x v="0"/>
    <n v="54"/>
    <x v="0"/>
    <n v="31"/>
  </r>
  <r>
    <s v="1000197101"/>
    <s v="27401101800462"/>
    <n v="2"/>
    <s v="لمياء محمد عبدالحميد درغام "/>
    <s v="10001971"/>
    <s v="Bucket 5"/>
    <s v="Bucket 5"/>
    <x v="1"/>
    <s v="Qima"/>
    <n v="26785"/>
    <n v="40255"/>
    <n v="11135"/>
    <n v="2080"/>
    <n v="0"/>
    <m/>
    <x v="3"/>
    <m/>
    <x v="0"/>
    <n v="54"/>
    <x v="0"/>
    <n v="31"/>
  </r>
  <r>
    <s v="1000065701"/>
    <s v="26911191801718"/>
    <n v="1"/>
    <s v="محمود محمد محمود سيد احمد الشناوي"/>
    <s v="10000657"/>
    <s v="Charged-off"/>
    <s v="Bucket 4"/>
    <x v="0"/>
    <s v="Qima"/>
    <n v="26545"/>
    <n v="47890"/>
    <n v="13555"/>
    <n v="1635"/>
    <n v="7500"/>
    <d v="2025-10-29T00:00:00"/>
    <x v="2"/>
    <n v="772"/>
    <x v="0"/>
    <n v="54"/>
    <x v="0"/>
    <n v="31"/>
  </r>
  <r>
    <s v="1000281101"/>
    <s v="27604011200049"/>
    <n v="1"/>
    <s v="عبير عبد الحميد احمد شهبه"/>
    <s v="10002811"/>
    <s v="Bucket 3"/>
    <s v="Bucket 3"/>
    <x v="1"/>
    <s v="Qima"/>
    <n v="26545"/>
    <n v="45900"/>
    <n v="5025"/>
    <n v="1635"/>
    <n v="0"/>
    <m/>
    <x v="4"/>
    <n v="763"/>
    <x v="0"/>
    <n v="54"/>
    <x v="0"/>
    <n v="31"/>
  </r>
  <r>
    <s v="1000362801"/>
    <s v="28808302800483"/>
    <n v="1"/>
    <s v="مها قنديل ابراهيم جاد "/>
    <s v="10003628"/>
    <s v="Bucket 3"/>
    <s v="Current"/>
    <x v="1"/>
    <s v="Qima"/>
    <n v="26545"/>
    <n v="45330"/>
    <n v="4455"/>
    <n v="1635"/>
    <n v="4455"/>
    <d v="2025-10-11T00:00:00"/>
    <x v="3"/>
    <m/>
    <x v="0"/>
    <n v="54"/>
    <x v="0"/>
    <n v="31"/>
  </r>
  <r>
    <s v="1000427101"/>
    <s v="27302171301201"/>
    <n v="1"/>
    <s v="هيام السيد عبد الرحمن علي"/>
    <s v="10004271"/>
    <s v="Bucket 3"/>
    <s v="Current"/>
    <x v="1"/>
    <s v="Qima"/>
    <n v="26174"/>
    <n v="46060"/>
    <n v="4850"/>
    <n v="1585"/>
    <n v="4850"/>
    <d v="2025-10-14T00:00:00"/>
    <x v="1"/>
    <n v="732"/>
    <x v="0"/>
    <n v="54"/>
    <x v="0"/>
    <n v="31"/>
  </r>
  <r>
    <s v="1000349201"/>
    <s v="27208190201009"/>
    <n v="1"/>
    <s v="شاهندا مجدى عبدالنبي غازى"/>
    <s v="10003492"/>
    <s v="Bucket 3"/>
    <s v="Bucket 3"/>
    <x v="1"/>
    <s v="Qima"/>
    <n v="26144"/>
    <n v="44602"/>
    <n v="3727"/>
    <n v="1635"/>
    <n v="0"/>
    <m/>
    <x v="2"/>
    <n v="772"/>
    <x v="0"/>
    <n v="54"/>
    <x v="0"/>
    <n v="31"/>
  </r>
  <r>
    <s v="1000232602"/>
    <s v="28909240202194"/>
    <n v="2"/>
    <s v=" عمرو يوسف حمدالله الديب "/>
    <s v="10002326"/>
    <s v="Bucket 3"/>
    <s v="Bucket 3"/>
    <x v="1"/>
    <s v="Qima"/>
    <n v="26030"/>
    <n v="44831"/>
    <n v="5591"/>
    <n v="1635"/>
    <n v="0"/>
    <m/>
    <x v="2"/>
    <n v="772"/>
    <x v="0"/>
    <n v="54"/>
    <x v="0"/>
    <n v="31"/>
  </r>
  <r>
    <s v="1000258301"/>
    <s v="28411232700233"/>
    <n v="1"/>
    <s v="حماده احمدالسعدي يوسف محمد "/>
    <s v="10002583"/>
    <s v="Bucket 3"/>
    <s v="Bucket 3"/>
    <x v="1"/>
    <s v="Qima"/>
    <n v="25801"/>
    <n v="44545"/>
    <n v="5545"/>
    <n v="1625"/>
    <n v="0"/>
    <m/>
    <x v="4"/>
    <n v="763"/>
    <x v="0"/>
    <n v="54"/>
    <x v="0"/>
    <n v="31"/>
  </r>
  <r>
    <s v="1000405305"/>
    <s v="28011290100353"/>
    <n v="5"/>
    <s v="شريف شفيق جمال الدين خطاب "/>
    <s v="10004053"/>
    <s v="Charged-off"/>
    <s v="Charged-off"/>
    <x v="0"/>
    <s v="Qima"/>
    <n v="25514"/>
    <n v="31071"/>
    <n v="25401"/>
    <n v="2835"/>
    <n v="0"/>
    <m/>
    <x v="1"/>
    <n v="732"/>
    <x v="0"/>
    <n v="54"/>
    <x v="0"/>
    <n v="31"/>
  </r>
  <r>
    <s v="1000298301"/>
    <s v="28510010124526"/>
    <n v="1"/>
    <s v="كريمه عزت امين حسن جوزه"/>
    <s v="10002983"/>
    <s v="Bucket 5"/>
    <s v="Bucket 5"/>
    <x v="1"/>
    <s v="Qima"/>
    <n v="24985"/>
    <n v="37855"/>
    <n v="11660"/>
    <n v="2015"/>
    <n v="0"/>
    <m/>
    <x v="3"/>
    <m/>
    <x v="0"/>
    <n v="54"/>
    <x v="0"/>
    <n v="31"/>
  </r>
  <r>
    <s v="1000864902"/>
    <s v="28207010107082"/>
    <n v="2"/>
    <s v="هبة عطية ابو نايل محمد نايل "/>
    <s v="10008649"/>
    <s v="Bucket 6"/>
    <s v="Bucket 6"/>
    <x v="1"/>
    <s v="Qima"/>
    <n v="24930"/>
    <n v="41774"/>
    <n v="10709"/>
    <n v="1635"/>
    <n v="0"/>
    <m/>
    <x v="4"/>
    <n v="763"/>
    <x v="0"/>
    <n v="54"/>
    <x v="0"/>
    <n v="31"/>
  </r>
  <r>
    <s v="1000016702"/>
    <s v="27401011100569"/>
    <n v="2"/>
    <s v="جيهان عيسي السيد الفيومي"/>
    <s v="10000167"/>
    <s v="Bucket 4"/>
    <s v="Bucket 4"/>
    <x v="1"/>
    <s v="Qima"/>
    <n v="24810"/>
    <n v="34036"/>
    <n v="12596"/>
    <n v="2680"/>
    <n v="0"/>
    <m/>
    <x v="2"/>
    <n v="772"/>
    <x v="0"/>
    <n v="54"/>
    <x v="0"/>
    <n v="31"/>
  </r>
  <r>
    <s v="1000063401"/>
    <s v="26911171500878"/>
    <n v="1"/>
    <s v="محمد عبدالمعطي الصاوي صبح"/>
    <s v="10000634"/>
    <s v="Charged-off"/>
    <s v="Charged-off"/>
    <x v="0"/>
    <s v="Qima"/>
    <n v="24750"/>
    <n v="45563"/>
    <n v="13433"/>
    <n v="1530"/>
    <n v="0"/>
    <m/>
    <x v="1"/>
    <n v="732"/>
    <x v="0"/>
    <n v="54"/>
    <x v="0"/>
    <n v="31"/>
  </r>
  <r>
    <s v="1000637901"/>
    <s v="27410040100917"/>
    <n v="1"/>
    <s v="سيد عبدالرؤوف محمد السيد"/>
    <s v="10006379"/>
    <s v="Bucket 4"/>
    <s v="Bucket 4"/>
    <x v="1"/>
    <s v="Qima"/>
    <n v="24060"/>
    <n v="31970"/>
    <n v="8030"/>
    <n v="1710"/>
    <n v="0"/>
    <m/>
    <x v="2"/>
    <n v="772"/>
    <x v="0"/>
    <n v="54"/>
    <x v="0"/>
    <n v="31"/>
  </r>
  <r>
    <s v="1000251202"/>
    <s v="29012060100435"/>
    <n v="2"/>
    <s v="اسلام محمد عبدالعزيز عطيه "/>
    <s v="10002512"/>
    <s v="Bucket 5"/>
    <s v="Bucket 5"/>
    <x v="1"/>
    <s v="Qima"/>
    <n v="24025"/>
    <n v="36370"/>
    <n v="12190"/>
    <n v="2015"/>
    <n v="0"/>
    <m/>
    <x v="2"/>
    <n v="772"/>
    <x v="0"/>
    <n v="54"/>
    <x v="0"/>
    <n v="31"/>
  </r>
  <r>
    <s v="1000095901"/>
    <s v="27303061100363"/>
    <n v="1"/>
    <s v="نجلاء نصرالدين عبدالسلام فراج"/>
    <s v="10000959"/>
    <s v="Charged-off"/>
    <s v="Charged-off"/>
    <x v="0"/>
    <s v="Qima"/>
    <n v="24025"/>
    <n v="36239"/>
    <n v="16089"/>
    <n v="2015"/>
    <n v="0"/>
    <m/>
    <x v="4"/>
    <n v="763"/>
    <x v="0"/>
    <n v="54"/>
    <x v="0"/>
    <n v="31"/>
  </r>
  <r>
    <s v="1000720701"/>
    <s v="30007300100235"/>
    <n v="1"/>
    <s v="مصطفي محمود عبدالعزيز عبدالله "/>
    <s v="10007207"/>
    <s v="Bucket 3"/>
    <s v="Bucket 2"/>
    <x v="1"/>
    <s v="Qima"/>
    <n v="23760"/>
    <n v="39987"/>
    <n v="4797"/>
    <n v="1530"/>
    <n v="0"/>
    <m/>
    <x v="3"/>
    <m/>
    <x v="0"/>
    <n v="54"/>
    <x v="0"/>
    <n v="31"/>
  </r>
  <r>
    <s v="1000365301"/>
    <s v="28007070103516"/>
    <n v="1"/>
    <s v="محمود محمد شريف صالح"/>
    <s v="10003653"/>
    <s v="Bucket 6"/>
    <s v="Bucket 6"/>
    <x v="1"/>
    <s v="Qima"/>
    <n v="23680"/>
    <n v="45687"/>
    <n v="10197"/>
    <n v="1365"/>
    <n v="0"/>
    <m/>
    <x v="1"/>
    <n v="732"/>
    <x v="0"/>
    <n v="54"/>
    <x v="0"/>
    <n v="31"/>
  </r>
  <r>
    <s v="1000431502"/>
    <s v="29006260300072"/>
    <n v="3"/>
    <s v="وليد كمال صبحي احمد عبدالله "/>
    <s v="10004315"/>
    <s v="Bucket 4"/>
    <s v="Bucket 4"/>
    <x v="1"/>
    <s v="Qima"/>
    <n v="23607"/>
    <n v="43874"/>
    <n v="6510"/>
    <n v="1385"/>
    <n v="0"/>
    <m/>
    <x v="2"/>
    <n v="772"/>
    <x v="0"/>
    <n v="54"/>
    <x v="0"/>
    <n v="31"/>
  </r>
  <r>
    <s v="1000432902"/>
    <s v="27109241500369"/>
    <n v="2"/>
    <s v="سوزان فتحي يوسف نعيم"/>
    <s v="10004329"/>
    <s v="Bucket 4"/>
    <s v="Bucket 2"/>
    <x v="1"/>
    <s v="Qima"/>
    <n v="23315"/>
    <n v="43238"/>
    <n v="6414"/>
    <n v="1365"/>
    <n v="3398"/>
    <d v="2025-10-26T00:00:00"/>
    <x v="4"/>
    <n v="763"/>
    <x v="0"/>
    <n v="54"/>
    <x v="0"/>
    <n v="31"/>
  </r>
  <r>
    <s v="1000363101"/>
    <s v="28408021202201"/>
    <n v="1"/>
    <s v="دعاء محمد محمد الدرينى تويج"/>
    <s v="10003631"/>
    <s v="Bucket 3"/>
    <s v="Bucket 2"/>
    <x v="1"/>
    <s v="Qima"/>
    <n v="23025"/>
    <n v="31742"/>
    <n v="5547"/>
    <n v="2015"/>
    <n v="2500"/>
    <d v="2025-10-15T00:00:00"/>
    <x v="2"/>
    <n v="772"/>
    <x v="0"/>
    <n v="54"/>
    <x v="0"/>
    <n v="31"/>
  </r>
  <r>
    <s v="1000208301"/>
    <s v="28010141500342"/>
    <n v="1"/>
    <s v="نهله عبدالعزيز رزق الرمادى"/>
    <s v="10002083"/>
    <s v="Bucket 5"/>
    <s v="Bucket 5"/>
    <x v="1"/>
    <s v="Qima"/>
    <n v="23025"/>
    <n v="34213"/>
    <n v="12048"/>
    <n v="2015"/>
    <n v="2500"/>
    <d v="2025-10-16T00:00:00"/>
    <x v="4"/>
    <n v="763"/>
    <x v="0"/>
    <n v="54"/>
    <x v="0"/>
    <n v="31"/>
  </r>
  <r>
    <s v="1000188001"/>
    <s v="27805210201688"/>
    <n v="1"/>
    <s v="ماجدة مخلوف عبدالحليم محمد "/>
    <s v="10001880"/>
    <s v="Bucket 5"/>
    <s v="Bucket 5"/>
    <x v="1"/>
    <s v="Qima"/>
    <n v="23025"/>
    <n v="33721"/>
    <n v="11556"/>
    <n v="2015"/>
    <n v="0"/>
    <m/>
    <x v="3"/>
    <m/>
    <x v="0"/>
    <n v="54"/>
    <x v="0"/>
    <n v="31"/>
  </r>
  <r>
    <s v="1000775101"/>
    <s v="28103062301502"/>
    <n v="1"/>
    <s v="رشا السيد أحمد السيد الحصري"/>
    <s v="10007751"/>
    <s v="Bucket 4"/>
    <s v="Current"/>
    <x v="1"/>
    <s v="Qima"/>
    <n v="22718"/>
    <n v="35299"/>
    <n v="5869"/>
    <n v="1635"/>
    <n v="5869"/>
    <d v="2025-10-27T00:00:00"/>
    <x v="1"/>
    <n v="732"/>
    <x v="0"/>
    <n v="54"/>
    <x v="0"/>
    <n v="31"/>
  </r>
  <r>
    <s v="1000032303"/>
    <s v="28204072102509"/>
    <n v="5"/>
    <s v="شيماء محمد علي محمد الصوابي "/>
    <s v="10000323"/>
    <s v="Charged-off"/>
    <s v="Charged-off"/>
    <x v="0"/>
    <s v="Qima"/>
    <n v="22684"/>
    <n v="35652"/>
    <n v="17787"/>
    <n v="1985"/>
    <n v="0"/>
    <m/>
    <x v="2"/>
    <n v="772"/>
    <x v="0"/>
    <n v="54"/>
    <x v="0"/>
    <n v="31"/>
  </r>
  <r>
    <s v="1000213101"/>
    <s v="27604011101016"/>
    <n v="1"/>
    <s v="محمد عبد القادر عطيه جرون"/>
    <s v="10002131"/>
    <s v="Bucket 5"/>
    <s v="Bucket 5"/>
    <x v="1"/>
    <s v="Qima"/>
    <n v="22563"/>
    <n v="32218"/>
    <n v="10053"/>
    <n v="2015"/>
    <n v="0"/>
    <m/>
    <x v="2"/>
    <n v="772"/>
    <x v="0"/>
    <n v="54"/>
    <x v="0"/>
    <n v="31"/>
  </r>
  <r>
    <s v="1000105101"/>
    <s v="27810240400298"/>
    <n v="1"/>
    <s v="احمد ابراهيم حسن حسين مهيا"/>
    <s v="10001051"/>
    <s v="Charged-off"/>
    <s v="Bucket 6"/>
    <x v="0"/>
    <s v="Qima"/>
    <n v="22540"/>
    <n v="42261"/>
    <n v="12231"/>
    <n v="1365"/>
    <n v="2500"/>
    <d v="2025-10-27T00:00:00"/>
    <x v="4"/>
    <n v="763"/>
    <x v="0"/>
    <n v="54"/>
    <x v="0"/>
    <n v="31"/>
  </r>
  <r>
    <s v="1000305801"/>
    <s v="29108031800069"/>
    <n v="1"/>
    <s v="ايمان حنفي محمود حبليزه"/>
    <s v="10003058"/>
    <s v="Bucket 4"/>
    <s v="Bucket 4"/>
    <x v="1"/>
    <s v="Qima"/>
    <n v="22540"/>
    <n v="39787"/>
    <n v="5662"/>
    <n v="1365"/>
    <n v="0"/>
    <m/>
    <x v="3"/>
    <m/>
    <x v="0"/>
    <n v="54"/>
    <x v="0"/>
    <n v="31"/>
  </r>
  <r>
    <s v="1000793102"/>
    <s v="27406060103362"/>
    <n v="2"/>
    <s v="منى محمد محمد حسين "/>
    <s v="10007931"/>
    <s v="Bucket 3"/>
    <s v="Current"/>
    <x v="1"/>
    <s v="Qima"/>
    <n v="22440"/>
    <n v="35021"/>
    <n v="5591"/>
    <n v="1635"/>
    <n v="5591"/>
    <d v="2025-10-09T00:00:00"/>
    <x v="2"/>
    <n v="772"/>
    <x v="0"/>
    <n v="54"/>
    <x v="0"/>
    <n v="31"/>
  </r>
  <r>
    <s v="1000208901"/>
    <s v="29005281601688"/>
    <n v="2"/>
    <s v="نظيره محمد عبد الحليم حسن"/>
    <s v="10002089"/>
    <s v="Bucket 4"/>
    <s v="Current"/>
    <x v="1"/>
    <s v="Qima"/>
    <n v="22365"/>
    <n v="39057"/>
    <n v="6627"/>
    <n v="1410"/>
    <n v="6627"/>
    <d v="2025-10-30T00:00:00"/>
    <x v="1"/>
    <n v="732"/>
    <x v="0"/>
    <n v="54"/>
    <x v="0"/>
    <n v="31"/>
  </r>
  <r>
    <s v="1000490401"/>
    <s v="27510250203314"/>
    <n v="1"/>
    <s v="وليد عبده احمد محمد"/>
    <s v="10004904"/>
    <s v="Bucket 5"/>
    <s v="Bucket 5"/>
    <x v="1"/>
    <s v="Qima"/>
    <n v="22340"/>
    <n v="34207"/>
    <n v="9007"/>
    <n v="1680"/>
    <n v="0"/>
    <m/>
    <x v="1"/>
    <n v="732"/>
    <x v="0"/>
    <n v="54"/>
    <x v="0"/>
    <n v="31"/>
  </r>
  <r>
    <s v="1000653401"/>
    <s v="26801010204594"/>
    <n v="1"/>
    <s v="إيهاب فوزى محمد محمود"/>
    <s v="10006534"/>
    <s v="Bucket 6"/>
    <s v="Bucket 6"/>
    <x v="1"/>
    <s v="Qima"/>
    <n v="22210"/>
    <n v="28486"/>
    <n v="20146"/>
    <n v="2780"/>
    <n v="0"/>
    <m/>
    <x v="2"/>
    <n v="772"/>
    <x v="0"/>
    <n v="54"/>
    <x v="0"/>
    <n v="31"/>
  </r>
  <r>
    <s v="1000313501"/>
    <s v="27808052602873"/>
    <n v="1"/>
    <s v="احمد علي احمد ابراهيم "/>
    <s v="10003135"/>
    <s v="Bucket 3"/>
    <s v="Current"/>
    <x v="1"/>
    <s v="Qima"/>
    <n v="22125"/>
    <n v="37879"/>
    <n v="3754"/>
    <n v="1365"/>
    <n v="3754"/>
    <d v="2025-10-13T00:00:00"/>
    <x v="4"/>
    <n v="763"/>
    <x v="0"/>
    <n v="54"/>
    <x v="0"/>
    <n v="31"/>
  </r>
  <r>
    <s v="1000305601"/>
    <s v="27803201300654"/>
    <n v="1"/>
    <s v="محمد ابراهيم محمود متولى "/>
    <s v="10003056"/>
    <s v="Bucket 3"/>
    <s v="Bucket 2"/>
    <x v="1"/>
    <s v="Qima"/>
    <n v="22125"/>
    <n v="38602"/>
    <n v="4477"/>
    <n v="1365"/>
    <n v="2000"/>
    <d v="2025-10-25T00:00:00"/>
    <x v="3"/>
    <m/>
    <x v="0"/>
    <n v="54"/>
    <x v="0"/>
    <n v="31"/>
  </r>
  <r>
    <s v="1000396201"/>
    <s v="30009300101714"/>
    <n v="1"/>
    <s v="محمد شريف سيد محمود رمضان "/>
    <s v="10003962"/>
    <s v="Bucket 6"/>
    <s v="Bucket 6"/>
    <x v="1"/>
    <s v="Qima"/>
    <n v="21995"/>
    <n v="32154"/>
    <n v="14019"/>
    <n v="2015"/>
    <n v="0"/>
    <m/>
    <x v="1"/>
    <n v="732"/>
    <x v="0"/>
    <n v="54"/>
    <x v="0"/>
    <n v="31"/>
  </r>
  <r>
    <s v="1000206601"/>
    <s v="28508111501849"/>
    <n v="1"/>
    <s v=" غاده فؤاد محمد جباره"/>
    <s v="10002066"/>
    <s v="Bucket 3"/>
    <s v="Bucket 2"/>
    <x v="1"/>
    <s v="Qima"/>
    <n v="21695"/>
    <n v="37429"/>
    <n v="4669"/>
    <n v="1365"/>
    <n v="2100"/>
    <d v="2025-10-11T00:00:00"/>
    <x v="2"/>
    <n v="772"/>
    <x v="0"/>
    <n v="54"/>
    <x v="0"/>
    <n v="31"/>
  </r>
  <r>
    <s v="1000064601"/>
    <s v="27804240400158"/>
    <n v="1"/>
    <s v="سيد محمد قبيل سيد رسول"/>
    <s v="10000646"/>
    <s v="Bucket 5"/>
    <s v="Bucket 5"/>
    <x v="1"/>
    <s v="Qima"/>
    <n v="21695"/>
    <n v="38289"/>
    <n v="8259"/>
    <n v="1365"/>
    <n v="0"/>
    <m/>
    <x v="4"/>
    <n v="763"/>
    <x v="0"/>
    <n v="54"/>
    <x v="0"/>
    <n v="31"/>
  </r>
  <r>
    <s v="1000291901"/>
    <s v="27806181200037"/>
    <n v="1"/>
    <s v="ياسر محمد محمد حسن"/>
    <s v="10002919"/>
    <s v="Bucket 6"/>
    <s v="Bucket 5"/>
    <x v="1"/>
    <s v="Qima"/>
    <n v="21605"/>
    <n v="33468"/>
    <n v="11628"/>
    <n v="1680"/>
    <n v="3500"/>
    <d v="2025-10-26T00:00:00"/>
    <x v="3"/>
    <m/>
    <x v="0"/>
    <n v="54"/>
    <x v="0"/>
    <n v="31"/>
  </r>
  <r>
    <s v="1000475701"/>
    <s v="28807280202751"/>
    <n v="1"/>
    <s v="ابراهيم جمال ابراهيم عبد القوي جمال الدين"/>
    <s v="10004757"/>
    <s v="Bucket 3"/>
    <s v="Bucket 3"/>
    <x v="1"/>
    <s v="Qima"/>
    <n v="21309"/>
    <n v="31590"/>
    <n v="5865"/>
    <n v="1715"/>
    <n v="0"/>
    <m/>
    <x v="1"/>
    <n v="732"/>
    <x v="0"/>
    <n v="54"/>
    <x v="0"/>
    <n v="31"/>
  </r>
  <r>
    <s v="1000333001"/>
    <s v="27306080103399"/>
    <n v="1"/>
    <s v="ايمن حسن محمد السيد "/>
    <s v="10003330"/>
    <s v="Bucket 6"/>
    <s v="Bucket 6"/>
    <x v="1"/>
    <s v="Qima"/>
    <n v="21108"/>
    <n v="32272"/>
    <n v="10432"/>
    <n v="1680"/>
    <n v="0"/>
    <m/>
    <x v="2"/>
    <n v="772"/>
    <x v="0"/>
    <n v="54"/>
    <x v="0"/>
    <n v="31"/>
  </r>
  <r>
    <s v="1000208701"/>
    <s v="27904121601247"/>
    <n v="1"/>
    <s v="صباح عبد الموجود عوض محمد صالح"/>
    <s v="10002087"/>
    <s v="Bucket 4"/>
    <s v="Bucket 3"/>
    <x v="1"/>
    <s v="Qima"/>
    <n v="20799"/>
    <n v="35412"/>
    <n v="4592"/>
    <n v="1340"/>
    <n v="50"/>
    <d v="2025-10-28T00:00:00"/>
    <x v="4"/>
    <n v="763"/>
    <x v="0"/>
    <n v="54"/>
    <x v="0"/>
    <n v="31"/>
  </r>
  <r>
    <s v="1000482003"/>
    <s v="26801150105669"/>
    <n v="4"/>
    <s v="نيفين محمد جمال علي احمد "/>
    <s v="10004820"/>
    <s v="Bucket 5"/>
    <s v="Current"/>
    <x v="1"/>
    <s v="Qima"/>
    <n v="20690"/>
    <n v="39495"/>
    <n v="7230"/>
    <n v="1195"/>
    <n v="7230"/>
    <d v="2025-10-26T00:00:00"/>
    <x v="3"/>
    <m/>
    <x v="0"/>
    <n v="54"/>
    <x v="0"/>
    <n v="31"/>
  </r>
  <r>
    <s v="1000689801"/>
    <s v="27709051100183"/>
    <n v="1"/>
    <s v="إيناس محسن علي ابوحديد"/>
    <s v="10006898"/>
    <s v="Bucket 4"/>
    <s v="Bucket 4"/>
    <x v="1"/>
    <s v="Qima"/>
    <n v="20510"/>
    <n v="28331"/>
    <n v="5851"/>
    <n v="1405"/>
    <n v="0"/>
    <m/>
    <x v="3"/>
    <m/>
    <x v="0"/>
    <n v="54"/>
    <x v="0"/>
    <n v="31"/>
  </r>
  <r>
    <s v="1000873201"/>
    <s v="28003028800546"/>
    <n v="1"/>
    <s v="شيماء علي محمد سيد احمد جريشه"/>
    <s v="10008732"/>
    <s v="Bucket 6"/>
    <s v="Bucket 6"/>
    <x v="1"/>
    <s v="Qima"/>
    <n v="20470"/>
    <n v="29015"/>
    <n v="12895"/>
    <n v="2015"/>
    <n v="0"/>
    <m/>
    <x v="1"/>
    <n v="732"/>
    <x v="0"/>
    <n v="54"/>
    <x v="0"/>
    <n v="31"/>
  </r>
  <r>
    <s v="1000888102"/>
    <s v="26709231700037"/>
    <n v="2"/>
    <s v="محمد على محمد عرفه"/>
    <s v="10008881"/>
    <s v="Bucket 3"/>
    <s v="Bucket 3"/>
    <x v="1"/>
    <s v="Qima"/>
    <n v="19790"/>
    <n v="31969"/>
    <n v="4669"/>
    <n v="1365"/>
    <n v="0"/>
    <m/>
    <x v="2"/>
    <n v="772"/>
    <x v="0"/>
    <n v="54"/>
    <x v="0"/>
    <n v="31"/>
  </r>
  <r>
    <s v="1000888101"/>
    <s v="26709231700037"/>
    <n v="2"/>
    <s v="محمد على محمد عرفه"/>
    <s v="10008881"/>
    <s v="Bucket 3"/>
    <s v="Bucket 3"/>
    <x v="1"/>
    <s v="Qima"/>
    <n v="19790"/>
    <n v="31969"/>
    <n v="4669"/>
    <n v="1365"/>
    <n v="0"/>
    <m/>
    <x v="2"/>
    <n v="772"/>
    <x v="0"/>
    <n v="54"/>
    <x v="0"/>
    <n v="31"/>
  </r>
  <r>
    <s v="1000816001"/>
    <s v="27509098800168"/>
    <n v="1"/>
    <s v="معالي كمال عوض مرجان"/>
    <s v="10008160"/>
    <s v="Bucket 5"/>
    <s v="Bucket 5"/>
    <x v="1"/>
    <s v="Qima"/>
    <n v="19790"/>
    <n v="31940"/>
    <n v="7370"/>
    <n v="1365"/>
    <n v="0"/>
    <m/>
    <x v="2"/>
    <n v="772"/>
    <x v="0"/>
    <n v="54"/>
    <x v="0"/>
    <n v="31"/>
  </r>
  <r>
    <s v="1000224402"/>
    <s v="28103202103609"/>
    <n v="5"/>
    <s v="دعاء محمد علي عطيتو اسماعيل"/>
    <s v="10002244"/>
    <s v="Bucket 5"/>
    <s v="Bucket 5"/>
    <x v="1"/>
    <s v="Qima"/>
    <n v="19780"/>
    <n v="28310"/>
    <n v="12190"/>
    <n v="2015"/>
    <n v="0"/>
    <m/>
    <x v="4"/>
    <n v="763"/>
    <x v="0"/>
    <n v="54"/>
    <x v="0"/>
    <n v="31"/>
  </r>
  <r>
    <s v="1000017701"/>
    <s v="28603280103014"/>
    <n v="1"/>
    <s v="أحمد محمود عزت على الزيات"/>
    <s v="10000177"/>
    <s v="Bucket 5"/>
    <s v="Bucket 2"/>
    <x v="1"/>
    <s v="Qima"/>
    <n v="19765"/>
    <n v="26846"/>
    <n v="10726"/>
    <n v="2015"/>
    <n v="6713"/>
    <d v="2025-10-16T00:00:00"/>
    <x v="4"/>
    <n v="763"/>
    <x v="0"/>
    <n v="54"/>
    <x v="0"/>
    <n v="31"/>
  </r>
  <r>
    <s v="1000461301"/>
    <s v="27503122600452"/>
    <n v="1"/>
    <s v="علاء الدين يوسف السيد عبدالرحمن "/>
    <s v="10004613"/>
    <s v="Charged-off"/>
    <s v="Charged-off"/>
    <x v="0"/>
    <s v="Qima"/>
    <n v="19490"/>
    <n v="39377"/>
    <n v="9812"/>
    <n v="1095"/>
    <n v="0"/>
    <m/>
    <x v="3"/>
    <m/>
    <x v="0"/>
    <n v="54"/>
    <x v="0"/>
    <n v="31"/>
  </r>
  <r>
    <s v="1000628701"/>
    <s v="28211221403459"/>
    <n v="3"/>
    <s v="وائل رمضان عبدالصادق محي العزب "/>
    <s v="10006287"/>
    <s v="Bucket 6"/>
    <s v="Bucket 6"/>
    <x v="1"/>
    <s v="Qima"/>
    <n v="19330"/>
    <n v="31683"/>
    <n v="10533"/>
    <n v="1410"/>
    <n v="0"/>
    <m/>
    <x v="1"/>
    <n v="732"/>
    <x v="0"/>
    <n v="54"/>
    <x v="0"/>
    <n v="31"/>
  </r>
  <r>
    <s v="1000469501"/>
    <s v="28610181201817"/>
    <n v="1"/>
    <s v="احمد مصطفي عبده ابراهيم الحداد"/>
    <s v="10004695"/>
    <s v="Bucket 4"/>
    <s v="Bucket 4"/>
    <x v="1"/>
    <s v="Qima"/>
    <n v="19250"/>
    <n v="24948"/>
    <n v="15228"/>
    <n v="3240"/>
    <n v="0"/>
    <m/>
    <x v="1"/>
    <n v="732"/>
    <x v="0"/>
    <n v="54"/>
    <x v="0"/>
    <n v="31"/>
  </r>
  <r>
    <s v="1000415903"/>
    <s v="28609052500079"/>
    <n v="3"/>
    <s v="هشام كمال توفيق عبدالمجيد "/>
    <s v="10004159"/>
    <s v="Bucket 6"/>
    <s v="Bucket 5"/>
    <x v="1"/>
    <s v="Qima"/>
    <n v="19220"/>
    <n v="37728"/>
    <n v="8163"/>
    <n v="1095"/>
    <n v="1538"/>
    <d v="2025-10-24T00:00:00"/>
    <x v="2"/>
    <n v="772"/>
    <x v="0"/>
    <n v="54"/>
    <x v="0"/>
    <n v="31"/>
  </r>
  <r>
    <s v="1000255201"/>
    <s v="27503198800132"/>
    <n v="1"/>
    <s v="وليد صلاح احمد محمود "/>
    <s v="10002552"/>
    <s v="Bucket 4"/>
    <s v="Bucket 3"/>
    <x v="1"/>
    <s v="Qima"/>
    <n v="19205"/>
    <n v="27571"/>
    <n v="7411"/>
    <n v="1680"/>
    <n v="1700"/>
    <d v="2025-10-04T00:00:00"/>
    <x v="2"/>
    <n v="772"/>
    <x v="0"/>
    <n v="54"/>
    <x v="0"/>
    <n v="31"/>
  </r>
  <r>
    <s v="1000845401"/>
    <s v="27106201402063"/>
    <n v="2"/>
    <s v="أمانى ابراهيم ابو الخير عبدالله "/>
    <s v="10008454"/>
    <s v="Bucket 4"/>
    <s v="Bucket 2"/>
    <x v="1"/>
    <s v="Qima"/>
    <n v="19205"/>
    <n v="28056"/>
    <n v="7896"/>
    <n v="1680"/>
    <n v="4183"/>
    <d v="2025-10-23T00:00:00"/>
    <x v="2"/>
    <n v="772"/>
    <x v="0"/>
    <n v="54"/>
    <x v="0"/>
    <n v="31"/>
  </r>
  <r>
    <s v="1000207501"/>
    <s v="27511092402912"/>
    <n v="1"/>
    <s v="جرجس شلبي حنا صليب"/>
    <s v="10002075"/>
    <s v="Bucket 5"/>
    <s v="Bucket 2"/>
    <x v="1"/>
    <s v="Qima"/>
    <n v="19111"/>
    <n v="24826"/>
    <n v="12751"/>
    <n v="2415"/>
    <n v="7500"/>
    <d v="2025-10-28T00:00:00"/>
    <x v="4"/>
    <n v="763"/>
    <x v="0"/>
    <n v="54"/>
    <x v="0"/>
    <n v="31"/>
  </r>
  <r>
    <s v="1000305901"/>
    <s v="28809151804372"/>
    <n v="1"/>
    <s v="محمد فكيه احمد محمود شحاته"/>
    <s v="10003059"/>
    <s v="Charged-off"/>
    <s v="Charged-off"/>
    <x v="0"/>
    <s v="Qima"/>
    <n v="18940"/>
    <n v="36832"/>
    <n v="9457"/>
    <n v="1095"/>
    <n v="0"/>
    <m/>
    <x v="3"/>
    <m/>
    <x v="0"/>
    <n v="54"/>
    <x v="0"/>
    <n v="31"/>
  </r>
  <r>
    <s v="1000382201"/>
    <s v="29209221802875"/>
    <n v="1"/>
    <s v="احمد على عبدالمنعم رحال"/>
    <s v="10003822"/>
    <s v="Bucket 6"/>
    <s v="Bucket 5"/>
    <x v="1"/>
    <s v="Qima"/>
    <n v="18940"/>
    <n v="35929"/>
    <n v="7459"/>
    <n v="1095"/>
    <n v="1200"/>
    <d v="2025-10-16T00:00:00"/>
    <x v="1"/>
    <n v="732"/>
    <x v="0"/>
    <n v="54"/>
    <x v="0"/>
    <n v="31"/>
  </r>
  <r>
    <s v="1000320701"/>
    <s v="29805150202571"/>
    <n v="1"/>
    <s v="نور ابراهيم عبد العزيز امام عبدالله "/>
    <s v="10003207"/>
    <s v="Charged-off"/>
    <s v="Bucket 6"/>
    <x v="0"/>
    <s v="Qima"/>
    <n v="18930"/>
    <n v="35840"/>
    <n v="8465"/>
    <n v="1095"/>
    <n v="1000"/>
    <d v="2025-10-14T00:00:00"/>
    <x v="2"/>
    <n v="772"/>
    <x v="0"/>
    <n v="54"/>
    <x v="0"/>
    <n v="31"/>
  </r>
  <r>
    <s v="1000329501"/>
    <s v="28609011617042"/>
    <n v="1"/>
    <s v="نهاد عزت عبد الحليم العزب دراج"/>
    <s v="10003295"/>
    <s v="Bucket 6"/>
    <s v="Bucket 3"/>
    <x v="1"/>
    <s v="Qima"/>
    <n v="18645"/>
    <n v="35555"/>
    <n v="8180"/>
    <n v="1095"/>
    <n v="5000"/>
    <d v="2025-10-18T00:00:00"/>
    <x v="4"/>
    <n v="763"/>
    <x v="0"/>
    <n v="54"/>
    <x v="0"/>
    <n v="31"/>
  </r>
  <r>
    <s v="1000288503"/>
    <s v="28607142602854"/>
    <n v="3"/>
    <s v="حاتم أحمد السيد أحمد "/>
    <s v="10002885"/>
    <s v="Bucket 6"/>
    <s v="Bucket 6"/>
    <x v="1"/>
    <s v="Qima"/>
    <n v="18645"/>
    <n v="35555"/>
    <n v="8180"/>
    <n v="1095"/>
    <n v="0"/>
    <m/>
    <x v="2"/>
    <n v="772"/>
    <x v="0"/>
    <n v="54"/>
    <x v="0"/>
    <n v="31"/>
  </r>
  <r>
    <s v="1000718501"/>
    <s v="29306141100093"/>
    <n v="1"/>
    <s v="محمد حسام الدين رجب النوسانى "/>
    <s v="10007185"/>
    <s v="Bucket 6"/>
    <s v="Bucket 4"/>
    <x v="1"/>
    <s v="Qima"/>
    <n v="18625"/>
    <n v="26411"/>
    <n v="20821"/>
    <n v="2795"/>
    <n v="0"/>
    <m/>
    <x v="3"/>
    <m/>
    <x v="0"/>
    <n v="54"/>
    <x v="0"/>
    <n v="31"/>
  </r>
  <r>
    <s v="1000073602"/>
    <s v="28603140400132"/>
    <n v="2"/>
    <s v="محمد جلال الحفناوي مصطفي "/>
    <s v="10000736"/>
    <s v="Bucket 3"/>
    <s v="Bucket 2"/>
    <x v="1"/>
    <s v="Qima"/>
    <n v="18585"/>
    <n v="24737"/>
    <n v="6602"/>
    <n v="2015"/>
    <n v="2185"/>
    <d v="2025-10-23T00:00:00"/>
    <x v="2"/>
    <n v="772"/>
    <x v="0"/>
    <n v="54"/>
    <x v="0"/>
    <n v="31"/>
  </r>
  <r>
    <s v="1000692702"/>
    <s v="28002090200532"/>
    <n v="2"/>
    <s v="اسلام مسعد حنفى محمود "/>
    <s v="10006927"/>
    <s v="Bucket 6"/>
    <s v="Bucket 6"/>
    <x v="1"/>
    <s v="Qima"/>
    <n v="18490"/>
    <n v="25076"/>
    <n v="17891"/>
    <n v="2395"/>
    <n v="0"/>
    <m/>
    <x v="3"/>
    <m/>
    <x v="0"/>
    <n v="54"/>
    <x v="0"/>
    <n v="31"/>
  </r>
  <r>
    <s v="1000429301"/>
    <s v="27411272200337"/>
    <n v="1"/>
    <s v="حجاج عبدالله علي وهيب "/>
    <s v="10004293"/>
    <s v="Charged-off"/>
    <s v="Charged-off"/>
    <x v="0"/>
    <s v="Qima"/>
    <n v="18440"/>
    <n v="30472"/>
    <n v="11642"/>
    <n v="1345"/>
    <n v="0"/>
    <m/>
    <x v="1"/>
    <n v="732"/>
    <x v="0"/>
    <n v="54"/>
    <x v="0"/>
    <n v="31"/>
  </r>
  <r>
    <s v="1000457501"/>
    <s v="28511020200821"/>
    <n v="1"/>
    <s v="ندى محمد علي حسن محمد"/>
    <s v="10004575"/>
    <s v="Charged-off"/>
    <s v="Charged-off"/>
    <x v="0"/>
    <s v="Qima"/>
    <n v="18430"/>
    <n v="28774"/>
    <n v="14239"/>
    <n v="1615"/>
    <n v="0"/>
    <m/>
    <x v="2"/>
    <n v="772"/>
    <x v="0"/>
    <n v="54"/>
    <x v="0"/>
    <n v="31"/>
  </r>
  <r>
    <s v="1000180502"/>
    <s v="27607140104055"/>
    <n v="2"/>
    <s v="محمد سلطان حنفى ابو العلا"/>
    <s v="10001805"/>
    <s v="Charged-off"/>
    <s v="Charged-off"/>
    <x v="0"/>
    <s v="Qima"/>
    <n v="18340"/>
    <n v="34997"/>
    <n v="9812"/>
    <n v="1095"/>
    <n v="0"/>
    <m/>
    <x v="1"/>
    <n v="732"/>
    <x v="0"/>
    <n v="54"/>
    <x v="0"/>
    <n v="31"/>
  </r>
  <r>
    <s v="1000432801"/>
    <s v="27502152603883"/>
    <n v="1"/>
    <s v="امال محمود احمد على"/>
    <s v="10004328"/>
    <s v="Bucket 3"/>
    <s v="Bucket 1"/>
    <x v="1"/>
    <s v="Qima"/>
    <n v="18340"/>
    <n v="33310"/>
    <n v="3745"/>
    <n v="1095"/>
    <n v="2600"/>
    <d v="2025-10-22T00:00:00"/>
    <x v="4"/>
    <n v="763"/>
    <x v="0"/>
    <n v="54"/>
    <x v="0"/>
    <n v="31"/>
  </r>
  <r>
    <s v="1000151601"/>
    <s v="28509011414031"/>
    <n v="1"/>
    <s v="احمد عبدالله عيد عمر "/>
    <s v="10001516"/>
    <s v="Charged-off"/>
    <s v="Bucket 6"/>
    <x v="0"/>
    <s v="Qima"/>
    <n v="18340"/>
    <n v="33743"/>
    <n v="8558"/>
    <n v="1095"/>
    <n v="1000"/>
    <d v="2025-10-26T00:00:00"/>
    <x v="3"/>
    <m/>
    <x v="0"/>
    <n v="54"/>
    <x v="0"/>
    <n v="31"/>
  </r>
  <r>
    <s v="1000389501"/>
    <s v="27712202801015"/>
    <n v="1"/>
    <s v="احمد محمد السيد عبدالغني احمد "/>
    <s v="10003895"/>
    <s v="Bucket 3"/>
    <s v="Bucket 3"/>
    <x v="1"/>
    <s v="Qima"/>
    <n v="18020"/>
    <n v="32051"/>
    <n v="3581"/>
    <n v="1095"/>
    <n v="0"/>
    <m/>
    <x v="1"/>
    <n v="732"/>
    <x v="0"/>
    <n v="54"/>
    <x v="0"/>
    <n v="31"/>
  </r>
  <r>
    <s v="1000699901"/>
    <s v="29304170102124"/>
    <n v="3"/>
    <s v="نورهان محمد حسن خميس "/>
    <s v="10006999"/>
    <s v="Bucket 3"/>
    <s v="Bucket 2"/>
    <x v="1"/>
    <s v="Qima"/>
    <n v="18020"/>
    <n v="31455"/>
    <n v="2985"/>
    <n v="1095"/>
    <n v="1330"/>
    <d v="2025-10-13T00:00:00"/>
    <x v="3"/>
    <m/>
    <x v="0"/>
    <n v="54"/>
    <x v="0"/>
    <n v="31"/>
  </r>
  <r>
    <s v="1000205701"/>
    <s v="28702141600052"/>
    <n v="1"/>
    <s v="اسلام محمد منير محمد رشاد بيبرس"/>
    <s v="10002057"/>
    <s v="Bucket 5"/>
    <s v="Bucket 4"/>
    <x v="1"/>
    <s v="Qima"/>
    <n v="18020"/>
    <n v="32007"/>
    <n v="5727"/>
    <n v="1095"/>
    <n v="1730"/>
    <d v="2025-10-12T00:00:00"/>
    <x v="2"/>
    <n v="772"/>
    <x v="0"/>
    <n v="54"/>
    <x v="0"/>
    <n v="31"/>
  </r>
  <r>
    <s v="1000352301"/>
    <s v="29201051201757"/>
    <n v="1"/>
    <s v="محمد شوقي محمد الدماصي"/>
    <s v="10003523"/>
    <s v="Charged-off"/>
    <s v="Charged-off"/>
    <x v="0"/>
    <s v="Qima"/>
    <n v="17875"/>
    <n v="28746"/>
    <n v="11261"/>
    <n v="1345"/>
    <n v="0"/>
    <m/>
    <x v="4"/>
    <n v="763"/>
    <x v="0"/>
    <n v="54"/>
    <x v="0"/>
    <n v="31"/>
  </r>
  <r>
    <s v="1000458601"/>
    <s v="30005171600991"/>
    <n v="1"/>
    <s v="مصطفى طارق إبراهيم توفيق عبد المعطي"/>
    <s v="10004586"/>
    <s v="Bucket 5"/>
    <s v="Bucket 4"/>
    <x v="1"/>
    <s v="Qima"/>
    <n v="17875"/>
    <n v="27661"/>
    <n v="7486"/>
    <n v="1345"/>
    <n v="2700"/>
    <d v="2025-10-11T00:00:00"/>
    <x v="3"/>
    <m/>
    <x v="0"/>
    <n v="54"/>
    <x v="0"/>
    <n v="31"/>
  </r>
  <r>
    <s v="1000696201"/>
    <s v="26807302500877"/>
    <n v="1"/>
    <s v="مصطفي عبدالحميد مبارك حسين "/>
    <s v="10006962"/>
    <s v="Bucket 6"/>
    <s v="Bucket 5"/>
    <x v="1"/>
    <s v="Qima"/>
    <n v="17760"/>
    <n v="25456"/>
    <n v="7906"/>
    <n v="1170"/>
    <n v="1125"/>
    <d v="2025-10-25T00:00:00"/>
    <x v="1"/>
    <n v="732"/>
    <x v="0"/>
    <n v="54"/>
    <x v="0"/>
    <n v="31"/>
  </r>
  <r>
    <s v="1000846601"/>
    <s v="27211291302583"/>
    <n v="1"/>
    <s v="اعتماد السيد ابراهيم الهادي"/>
    <s v="10008466"/>
    <s v="Bucket 4"/>
    <s v="Bucket 4"/>
    <x v="1"/>
    <s v="Qima"/>
    <n v="17755"/>
    <n v="21719"/>
    <n v="17704"/>
    <n v="4015"/>
    <n v="0"/>
    <m/>
    <x v="2"/>
    <n v="772"/>
    <x v="0"/>
    <n v="54"/>
    <x v="0"/>
    <n v="31"/>
  </r>
  <r>
    <s v="1000298601"/>
    <s v="27212171400715"/>
    <n v="1"/>
    <s v="الصادق محمد جلال محمد احمد سليم"/>
    <s v="10002986"/>
    <s v="Bucket 5"/>
    <s v="Bucket 3"/>
    <x v="1"/>
    <s v="Qima"/>
    <n v="17735"/>
    <n v="31472"/>
    <n v="5192"/>
    <n v="1095"/>
    <n v="1500"/>
    <d v="2025-10-11T00:00:00"/>
    <x v="4"/>
    <n v="763"/>
    <x v="0"/>
    <n v="54"/>
    <x v="0"/>
    <n v="31"/>
  </r>
  <r>
    <s v="1000274301"/>
    <s v="26901012606791"/>
    <n v="1"/>
    <s v="احمد يوسف احمد محمد"/>
    <s v="10002743"/>
    <s v="Bucket 3"/>
    <s v="Bucket 3"/>
    <x v="1"/>
    <s v="Qima"/>
    <n v="17690"/>
    <n v="30961"/>
    <n v="3586"/>
    <n v="1095"/>
    <n v="0"/>
    <m/>
    <x v="3"/>
    <m/>
    <x v="0"/>
    <n v="54"/>
    <x v="0"/>
    <n v="31"/>
  </r>
  <r>
    <s v="1000364301"/>
    <s v="29110011416194"/>
    <n v="2"/>
    <s v="احمد محمد رضا محمود عزالدين "/>
    <s v="10003643"/>
    <s v="Bucket 3"/>
    <s v="Bucket 2"/>
    <x v="1"/>
    <s v="Qima"/>
    <n v="17669"/>
    <n v="23028"/>
    <n v="7558"/>
    <n v="2210"/>
    <n v="2674"/>
    <d v="2025-10-16T00:00:00"/>
    <x v="3"/>
    <m/>
    <x v="0"/>
    <n v="54"/>
    <x v="0"/>
    <n v="31"/>
  </r>
  <r>
    <s v="1000252901"/>
    <s v="27901041301065"/>
    <n v="1"/>
    <s v="عبير عبد المنعم متولي علي"/>
    <s v="10002529"/>
    <s v="Bucket 4"/>
    <s v="Bucket 3"/>
    <x v="1"/>
    <s v="Qima"/>
    <n v="17506"/>
    <n v="30186"/>
    <n v="3906"/>
    <n v="1095"/>
    <n v="1200"/>
    <d v="2025-10-17T00:00:00"/>
    <x v="1"/>
    <n v="732"/>
    <x v="0"/>
    <n v="54"/>
    <x v="0"/>
    <n v="31"/>
  </r>
  <r>
    <s v="1000450801"/>
    <s v="28106120201351"/>
    <n v="2"/>
    <s v="ايمن حامد عبدالجليل عبدالله"/>
    <s v="10004508"/>
    <s v="Bucket 4"/>
    <s v="Bucket 2"/>
    <x v="1"/>
    <s v="Qima"/>
    <n v="17485"/>
    <n v="26460"/>
    <n v="6650"/>
    <n v="1415"/>
    <n v="3523"/>
    <d v="2025-10-28T00:00:00"/>
    <x v="3"/>
    <m/>
    <x v="0"/>
    <n v="54"/>
    <x v="0"/>
    <n v="31"/>
  </r>
  <r>
    <s v="1000287201"/>
    <s v="28007302501734"/>
    <n v="1"/>
    <s v="قاسم محروس حسنين قاسم"/>
    <s v="10002872"/>
    <s v="Charged-off"/>
    <s v="Charged-off"/>
    <x v="0"/>
    <s v="Qima"/>
    <n v="17379"/>
    <n v="27672"/>
    <n v="10187"/>
    <n v="1345"/>
    <n v="0"/>
    <m/>
    <x v="2"/>
    <n v="772"/>
    <x v="0"/>
    <n v="54"/>
    <x v="0"/>
    <n v="31"/>
  </r>
  <r>
    <s v="1000232601"/>
    <s v="28909240202194"/>
    <n v="2"/>
    <s v=" عمرو يوسف حمدالله الديب "/>
    <s v="10002326"/>
    <s v="Bucket 3"/>
    <s v="Bucket 3"/>
    <x v="1"/>
    <s v="Qima"/>
    <n v="17345"/>
    <n v="30025"/>
    <n v="3745"/>
    <n v="1095"/>
    <n v="0"/>
    <m/>
    <x v="2"/>
    <n v="772"/>
    <x v="0"/>
    <n v="54"/>
    <x v="0"/>
    <n v="31"/>
  </r>
  <r>
    <s v="1000064401"/>
    <s v="27903130102532"/>
    <n v="1"/>
    <s v="نادر احمد على طه الجمل "/>
    <s v="10000644"/>
    <s v="Bucket 3"/>
    <s v="Bucket 3"/>
    <x v="1"/>
    <s v="Qima"/>
    <n v="17150"/>
    <n v="20510"/>
    <n v="7650"/>
    <n v="3215"/>
    <n v="0"/>
    <m/>
    <x v="4"/>
    <n v="763"/>
    <x v="0"/>
    <n v="54"/>
    <x v="0"/>
    <n v="31"/>
  </r>
  <r>
    <s v="1000125701"/>
    <s v="26808272101715"/>
    <n v="1"/>
    <s v="هشام شوقي عبداللطيف عبدالوهاب "/>
    <s v="10001257"/>
    <s v="Bucket 4"/>
    <s v="Bucket 3"/>
    <x v="1"/>
    <s v="Qima"/>
    <n v="16985"/>
    <n v="29237"/>
    <n v="5147"/>
    <n v="1095"/>
    <n v="2200"/>
    <d v="2025-10-13T00:00:00"/>
    <x v="3"/>
    <m/>
    <x v="0"/>
    <n v="54"/>
    <x v="0"/>
    <n v="31"/>
  </r>
  <r>
    <s v="1000161201"/>
    <s v="28803232102137"/>
    <n v="1"/>
    <s v="محمد جمال محمد المغربى فج النور"/>
    <s v="10001612"/>
    <s v="Bucket 3"/>
    <s v="Bucket 3"/>
    <x v="1"/>
    <s v="Qima"/>
    <n v="16985"/>
    <n v="28930"/>
    <n v="3745"/>
    <n v="1095"/>
    <n v="0"/>
    <m/>
    <x v="1"/>
    <n v="732"/>
    <x v="0"/>
    <n v="54"/>
    <x v="0"/>
    <n v="31"/>
  </r>
  <r>
    <s v="1000032401"/>
    <s v="26810170101511"/>
    <n v="1"/>
    <s v="خالد محمد حسن احمد"/>
    <s v="10000324"/>
    <s v="Bucket 5"/>
    <s v="Bucket 5"/>
    <x v="1"/>
    <s v="Qima"/>
    <n v="16985"/>
    <n v="29620"/>
    <n v="6625"/>
    <n v="1095"/>
    <n v="0"/>
    <m/>
    <x v="2"/>
    <n v="772"/>
    <x v="0"/>
    <n v="54"/>
    <x v="0"/>
    <n v="31"/>
  </r>
  <r>
    <s v="1000298002"/>
    <s v="28806220201287"/>
    <n v="2"/>
    <s v="خلود عماد حامد عرفه على "/>
    <s v="10002980"/>
    <s v="Bucket 4"/>
    <s v="Bucket 4"/>
    <x v="1"/>
    <s v="Qima"/>
    <n v="16675"/>
    <n v="25151"/>
    <n v="6321"/>
    <n v="1345"/>
    <n v="0"/>
    <m/>
    <x v="1"/>
    <n v="732"/>
    <x v="0"/>
    <n v="54"/>
    <x v="0"/>
    <n v="31"/>
  </r>
  <r>
    <s v="1000298001"/>
    <s v="28806220201287"/>
    <n v="2"/>
    <s v="خلود عماد حامد عرفه على "/>
    <s v="10002980"/>
    <s v="Bucket 4"/>
    <s v="Bucket 4"/>
    <x v="1"/>
    <s v="Qima"/>
    <n v="16675"/>
    <n v="24344"/>
    <n v="5514"/>
    <n v="1345"/>
    <n v="0"/>
    <m/>
    <x v="1"/>
    <n v="732"/>
    <x v="0"/>
    <n v="54"/>
    <x v="0"/>
    <n v="31"/>
  </r>
  <r>
    <s v="1000152701"/>
    <s v="27308131700152"/>
    <n v="1"/>
    <s v="محمد سعيد متولى خاطر "/>
    <s v="10001527"/>
    <s v="Charged-off"/>
    <s v="Charged-off"/>
    <x v="0"/>
    <s v="Qima"/>
    <n v="16675"/>
    <n v="25670"/>
    <n v="10875"/>
    <n v="1345"/>
    <n v="0"/>
    <m/>
    <x v="4"/>
    <n v="763"/>
    <x v="0"/>
    <n v="54"/>
    <x v="0"/>
    <n v="31"/>
  </r>
  <r>
    <s v="1000169401"/>
    <s v="29009012101038"/>
    <n v="1"/>
    <s v="محمود صلاح كامل نافع"/>
    <s v="10001694"/>
    <s v="Charged-off"/>
    <s v="Charged-off"/>
    <x v="0"/>
    <s v="Qima"/>
    <n v="16675"/>
    <n v="26560"/>
    <n v="11765"/>
    <n v="1345"/>
    <n v="0"/>
    <m/>
    <x v="3"/>
    <m/>
    <x v="0"/>
    <n v="54"/>
    <x v="0"/>
    <n v="31"/>
  </r>
  <r>
    <s v="1000060501"/>
    <s v="28606061600532"/>
    <n v="1"/>
    <s v="عبدالغني محمود احمد علي كعبو"/>
    <s v="10000605"/>
    <s v="Bucket 5"/>
    <s v="Bucket 2"/>
    <x v="1"/>
    <s v="Qima"/>
    <n v="16425"/>
    <n v="24653"/>
    <n v="4913"/>
    <n v="940"/>
    <n v="3371"/>
    <d v="2025-10-26T00:00:00"/>
    <x v="1"/>
    <n v="732"/>
    <x v="0"/>
    <n v="54"/>
    <x v="0"/>
    <n v="31"/>
  </r>
  <r>
    <s v="1000761601"/>
    <s v="29501230200708"/>
    <n v="1"/>
    <s v="اسراء هانى عبدالسلام السيد"/>
    <s v="10007616"/>
    <s v="Bucket 3"/>
    <s v="Bucket 2"/>
    <x v="1"/>
    <s v="Qima"/>
    <n v="16390"/>
    <n v="23330"/>
    <n v="3490"/>
    <n v="1240"/>
    <n v="1000"/>
    <d v="2025-10-08T00:00:00"/>
    <x v="2"/>
    <n v="772"/>
    <x v="0"/>
    <n v="54"/>
    <x v="0"/>
    <n v="31"/>
  </r>
  <r>
    <s v="1000083601"/>
    <s v="28206250200938"/>
    <n v="1"/>
    <s v="احمد على عبداللطيف ابراهيم"/>
    <s v="10000836"/>
    <s v="Charged-off"/>
    <s v="Charged-off"/>
    <x v="0"/>
    <s v="Qima"/>
    <n v="16315"/>
    <n v="23442"/>
    <n v="23442"/>
    <n v="4295"/>
    <n v="0"/>
    <m/>
    <x v="4"/>
    <n v="763"/>
    <x v="0"/>
    <n v="54"/>
    <x v="0"/>
    <n v="31"/>
  </r>
  <r>
    <s v="1000459102"/>
    <s v="29404182400397"/>
    <n v="2"/>
    <s v="دافيد مراد خلف ساويرس"/>
    <s v="10004591"/>
    <s v="Bucket 5"/>
    <s v="Bucket 4"/>
    <x v="1"/>
    <s v="Qima"/>
    <n v="16238"/>
    <n v="22127"/>
    <n v="14792"/>
    <n v="2445"/>
    <n v="3301"/>
    <d v="2025-10-28T00:00:00"/>
    <x v="2"/>
    <n v="772"/>
    <x v="0"/>
    <n v="54"/>
    <x v="0"/>
    <n v="31"/>
  </r>
  <r>
    <s v="1000861101"/>
    <s v="27801100200591"/>
    <n v="1"/>
    <s v=" احمد حمدي محمد احمد "/>
    <s v="10008611"/>
    <s v="Bucket 4"/>
    <s v="Bucket 3"/>
    <x v="1"/>
    <s v="Qima"/>
    <n v="16220"/>
    <n v="26823"/>
    <n v="4923"/>
    <n v="1095"/>
    <n v="1300"/>
    <d v="2025-10-17T00:00:00"/>
    <x v="3"/>
    <m/>
    <x v="0"/>
    <n v="54"/>
    <x v="0"/>
    <n v="31"/>
  </r>
  <r>
    <s v="1000874001"/>
    <s v="28601012302788"/>
    <n v="1"/>
    <s v="هبه محمد عزت حنفي عطية"/>
    <s v="10008740"/>
    <s v="Charged-off"/>
    <s v="Charged-off"/>
    <x v="0"/>
    <s v="Qima"/>
    <n v="16035"/>
    <n v="25501"/>
    <n v="12051"/>
    <n v="1345"/>
    <n v="0"/>
    <m/>
    <x v="1"/>
    <n v="732"/>
    <x v="0"/>
    <n v="54"/>
    <x v="0"/>
    <n v="31"/>
  </r>
  <r>
    <s v="1000575401"/>
    <s v="27702051600491"/>
    <n v="1"/>
    <s v="احمد مصطفي احمد النحاس"/>
    <s v="10005754"/>
    <s v="Bucket 6"/>
    <s v="Bucket 4"/>
    <x v="1"/>
    <s v="Qima"/>
    <n v="16005"/>
    <n v="19498"/>
    <n v="19498"/>
    <n v="2920"/>
    <n v="7000"/>
    <d v="2025-10-11T00:00:00"/>
    <x v="2"/>
    <n v="772"/>
    <x v="0"/>
    <n v="54"/>
    <x v="0"/>
    <n v="31"/>
  </r>
  <r>
    <s v="1000521601"/>
    <s v="28010292800739"/>
    <n v="1"/>
    <s v="شاذلي السيد علي احمد سنجق"/>
    <s v="10005216"/>
    <s v="Bucket 5"/>
    <s v="Bucket 4"/>
    <x v="1"/>
    <s v="Qima"/>
    <n v="15948"/>
    <n v="20960"/>
    <n v="6960"/>
    <n v="1400"/>
    <n v="1400"/>
    <d v="2025-10-28T00:00:00"/>
    <x v="4"/>
    <n v="763"/>
    <x v="0"/>
    <n v="54"/>
    <x v="0"/>
    <n v="31"/>
  </r>
  <r>
    <s v="1000104801"/>
    <s v="28709250202207"/>
    <n v="2"/>
    <s v="رانيا جمعه محمد سيد احمد الشريف"/>
    <s v="10001048"/>
    <s v="Bucket 6"/>
    <s v="Bucket 6"/>
    <x v="1"/>
    <s v="Qima"/>
    <n v="15820"/>
    <n v="22561"/>
    <n v="11256"/>
    <n v="1615"/>
    <n v="0"/>
    <m/>
    <x v="1"/>
    <n v="732"/>
    <x v="0"/>
    <n v="54"/>
    <x v="0"/>
    <n v="31"/>
  </r>
  <r>
    <s v="1000431503"/>
    <s v="29006260300072"/>
    <n v="3"/>
    <s v="وليد كمال صبحي احمد عبدالله "/>
    <s v="10004315"/>
    <s v="Bucket 4"/>
    <s v="Bucket 4"/>
    <x v="1"/>
    <s v="Qima"/>
    <n v="15753"/>
    <n v="29212"/>
    <n v="4199"/>
    <n v="925"/>
    <n v="0"/>
    <m/>
    <x v="2"/>
    <n v="772"/>
    <x v="0"/>
    <n v="54"/>
    <x v="0"/>
    <n v="31"/>
  </r>
  <r>
    <s v="1000255602"/>
    <s v="28403230101241"/>
    <n v="5"/>
    <s v="سماح شوكت عبد الراضي محمود "/>
    <s v="10002556"/>
    <s v="Bucket 5"/>
    <s v="Bucket 5"/>
    <x v="1"/>
    <s v="Qima"/>
    <n v="15715"/>
    <n v="22800"/>
    <n v="9165"/>
    <n v="1515"/>
    <n v="0"/>
    <m/>
    <x v="3"/>
    <m/>
    <x v="0"/>
    <n v="54"/>
    <x v="0"/>
    <n v="31"/>
  </r>
  <r>
    <s v="1000887801"/>
    <s v="27812150200276"/>
    <n v="1"/>
    <s v="محمد محمود خليل ابراهيم "/>
    <s v="10008878"/>
    <s v="Bucket 3"/>
    <s v="Bucket 3"/>
    <x v="1"/>
    <s v="Qima"/>
    <n v="15538"/>
    <n v="24468"/>
    <n v="2568"/>
    <n v="1095"/>
    <n v="0"/>
    <m/>
    <x v="3"/>
    <m/>
    <x v="0"/>
    <n v="54"/>
    <x v="0"/>
    <n v="31"/>
  </r>
  <r>
    <s v="1000405304"/>
    <s v="28011290100353"/>
    <n v="5"/>
    <s v="شريف شفيق جمال الدين خطاب "/>
    <s v="10004053"/>
    <s v="Charged-off"/>
    <s v="Charged-off"/>
    <x v="0"/>
    <s v="Qima"/>
    <n v="15525"/>
    <n v="18907"/>
    <n v="15457"/>
    <n v="1725"/>
    <n v="0"/>
    <m/>
    <x v="1"/>
    <n v="732"/>
    <x v="0"/>
    <n v="54"/>
    <x v="0"/>
    <n v="31"/>
  </r>
  <r>
    <s v="1000005501"/>
    <s v="27110062400074"/>
    <n v="1"/>
    <s v="مصطفي عبد الحكيم ابراهيم عثمان "/>
    <s v="10000055"/>
    <s v="Charged-off"/>
    <s v="Charged-off"/>
    <x v="0"/>
    <s v="Qima"/>
    <n v="15370"/>
    <n v="24156"/>
    <n v="12051"/>
    <n v="1345"/>
    <n v="0"/>
    <m/>
    <x v="1"/>
    <n v="732"/>
    <x v="0"/>
    <n v="54"/>
    <x v="0"/>
    <n v="31"/>
  </r>
  <r>
    <s v="1000350801"/>
    <s v="27204151303451"/>
    <n v="1"/>
    <s v="محمد عبد المقصود احمد عبد الرحمن"/>
    <s v="10003508"/>
    <s v="Bucket 3"/>
    <s v="Bucket 2"/>
    <x v="1"/>
    <s v="Qima"/>
    <n v="15370"/>
    <n v="22084"/>
    <n v="4599"/>
    <n v="1345"/>
    <n v="1630"/>
    <d v="2025-10-09T00:00:00"/>
    <x v="2"/>
    <n v="772"/>
    <x v="0"/>
    <n v="54"/>
    <x v="0"/>
    <n v="31"/>
  </r>
  <r>
    <s v="1000211001"/>
    <s v="28311112100068"/>
    <n v="1"/>
    <s v="شيماء رجب هاشم رجب محمد الجابري "/>
    <s v="10002110"/>
    <s v="Bucket 3"/>
    <s v="Bucket 1"/>
    <x v="1"/>
    <s v="Qima"/>
    <n v="15310"/>
    <n v="26024"/>
    <n v="3369"/>
    <n v="985"/>
    <n v="1320"/>
    <d v="2025-10-21T00:00:00"/>
    <x v="4"/>
    <n v="763"/>
    <x v="0"/>
    <n v="54"/>
    <x v="0"/>
    <n v="31"/>
  </r>
  <r>
    <s v="1000569401"/>
    <s v="27701310200859"/>
    <n v="1"/>
    <s v="تامر لزمي خليل معوض "/>
    <s v="10005694"/>
    <s v="Bucket 4"/>
    <s v="Bucket 4"/>
    <x v="1"/>
    <s v="Qima"/>
    <n v="15145"/>
    <n v="19705"/>
    <n v="4865"/>
    <n v="1060"/>
    <n v="0"/>
    <m/>
    <x v="3"/>
    <m/>
    <x v="0"/>
    <n v="54"/>
    <x v="0"/>
    <n v="31"/>
  </r>
  <r>
    <s v="1000775401"/>
    <s v="27309081600077"/>
    <n v="1"/>
    <s v="وليد ابراهيم حسن ابراهيم عماره "/>
    <s v="10007754"/>
    <s v="Bucket 5"/>
    <s v="Bucket 5"/>
    <x v="1"/>
    <s v="Qima"/>
    <n v="15085"/>
    <n v="23616"/>
    <n v="6021"/>
    <n v="1035"/>
    <n v="500"/>
    <d v="2025-10-20T00:00:00"/>
    <x v="1"/>
    <n v="732"/>
    <x v="0"/>
    <n v="54"/>
    <x v="0"/>
    <n v="31"/>
  </r>
  <r>
    <s v="1000877501"/>
    <s v="28707300300202"/>
    <n v="2"/>
    <s v="رانا محمد محمد محمد يوسف"/>
    <s v="10008775"/>
    <s v="Bucket 5"/>
    <s v="Bucket 5"/>
    <x v="1"/>
    <s v="Qima"/>
    <n v="15057"/>
    <n v="19112"/>
    <n v="13712"/>
    <n v="2700"/>
    <n v="0"/>
    <m/>
    <x v="3"/>
    <m/>
    <x v="0"/>
    <n v="54"/>
    <x v="0"/>
    <n v="31"/>
  </r>
  <r>
    <s v="1000364302"/>
    <s v="29110011416194"/>
    <n v="2"/>
    <s v="احمد محمد رضا محمود عزالدين "/>
    <s v="10003643"/>
    <s v="Bucket 4"/>
    <s v="Bucket 3"/>
    <x v="1"/>
    <s v="Qima"/>
    <n v="14895"/>
    <n v="19306"/>
    <n v="6636"/>
    <n v="1810"/>
    <n v="1526"/>
    <d v="2025-10-16T00:00:00"/>
    <x v="3"/>
    <m/>
    <x v="0"/>
    <n v="54"/>
    <x v="0"/>
    <n v="31"/>
  </r>
  <r>
    <s v="1000240401"/>
    <s v="29010060400401"/>
    <n v="1"/>
    <s v="عبير حسين محمد علي"/>
    <s v="10002404"/>
    <s v="Bucket 6"/>
    <s v="Bucket 6"/>
    <x v="1"/>
    <s v="Qima"/>
    <n v="14875"/>
    <n v="20527"/>
    <n v="10837"/>
    <n v="1615"/>
    <n v="0"/>
    <m/>
    <x v="2"/>
    <n v="772"/>
    <x v="0"/>
    <n v="54"/>
    <x v="0"/>
    <n v="31"/>
  </r>
  <r>
    <s v="1000468201"/>
    <s v="28203100201279"/>
    <n v="1"/>
    <s v="تكلا بشرى عطاالله سعدالله"/>
    <s v="10004682"/>
    <s v="Bucket 6"/>
    <s v="Bucket 6"/>
    <x v="1"/>
    <s v="Qima"/>
    <n v="14410"/>
    <n v="27727"/>
    <n v="5452"/>
    <n v="825"/>
    <n v="0"/>
    <m/>
    <x v="4"/>
    <n v="763"/>
    <x v="0"/>
    <n v="54"/>
    <x v="0"/>
    <n v="31"/>
  </r>
  <r>
    <s v="1000219601"/>
    <s v="30104141403197"/>
    <n v="1"/>
    <s v="احمد محمد فرج امام حسان"/>
    <s v="10002196"/>
    <s v="Bucket 5"/>
    <s v="Bucket 5"/>
    <x v="1"/>
    <s v="Qima"/>
    <n v="14405"/>
    <n v="21930"/>
    <n v="7350"/>
    <n v="1215"/>
    <n v="0"/>
    <m/>
    <x v="3"/>
    <m/>
    <x v="0"/>
    <n v="54"/>
    <x v="0"/>
    <n v="31"/>
  </r>
  <r>
    <s v="1000482002"/>
    <s v="26801150105669"/>
    <n v="4"/>
    <s v="نيفين محمد جمال علي احمد "/>
    <s v="10004820"/>
    <s v="Bucket 5"/>
    <s v="Current"/>
    <x v="1"/>
    <s v="Qima"/>
    <n v="14200"/>
    <n v="27267"/>
    <n v="4992"/>
    <n v="825"/>
    <n v="4992"/>
    <d v="2025-10-26T00:00:00"/>
    <x v="3"/>
    <m/>
    <x v="0"/>
    <n v="54"/>
    <x v="0"/>
    <n v="31"/>
  </r>
  <r>
    <s v="1000482001"/>
    <s v="26801150105669"/>
    <n v="4"/>
    <s v="نيفين محمد جمال علي احمد "/>
    <s v="10004820"/>
    <s v="Bucket 5"/>
    <s v="Current"/>
    <x v="1"/>
    <s v="Qima"/>
    <n v="14200"/>
    <n v="27267"/>
    <n v="4992"/>
    <n v="825"/>
    <n v="4992"/>
    <d v="2025-10-26T00:00:00"/>
    <x v="3"/>
    <m/>
    <x v="0"/>
    <n v="54"/>
    <x v="0"/>
    <n v="31"/>
  </r>
  <r>
    <s v="1000251401"/>
    <s v="27008032300203"/>
    <n v="1"/>
    <s v="جيهان سامى محمد لبيب صالح "/>
    <s v="10002514"/>
    <s v="Charged-off"/>
    <s v="Current"/>
    <x v="0"/>
    <s v="Qima"/>
    <n v="13980"/>
    <n v="26615"/>
    <n v="6815"/>
    <n v="825"/>
    <n v="6815"/>
    <d v="2025-10-24T00:00:00"/>
    <x v="1"/>
    <n v="732"/>
    <x v="0"/>
    <n v="54"/>
    <x v="0"/>
    <n v="31"/>
  </r>
  <r>
    <s v="1000683606"/>
    <s v="28405051203629"/>
    <n v="6"/>
    <s v="هنيه محمد احمد محمد خليل"/>
    <s v="10006836"/>
    <s v="Bucket 5"/>
    <s v="Bucket 5"/>
    <x v="1"/>
    <s v="Qima"/>
    <n v="13444"/>
    <n v="16714"/>
    <n v="10414"/>
    <n v="2100"/>
    <n v="0"/>
    <m/>
    <x v="2"/>
    <n v="772"/>
    <x v="0"/>
    <n v="54"/>
    <x v="0"/>
    <n v="31"/>
  </r>
  <r>
    <s v="1000132701"/>
    <s v="28903012104982"/>
    <n v="1"/>
    <s v="ايه ابراهيم حمدي ابراهيم"/>
    <s v="10001327"/>
    <s v="Bucket 6"/>
    <s v="Bucket 5"/>
    <x v="1"/>
    <s v="Qima"/>
    <n v="13260"/>
    <n v="24191"/>
    <n v="6041"/>
    <n v="825"/>
    <n v="1310"/>
    <d v="2025-10-30T00:00:00"/>
    <x v="2"/>
    <n v="772"/>
    <x v="0"/>
    <n v="54"/>
    <x v="0"/>
    <n v="31"/>
  </r>
  <r>
    <s v="1000405301"/>
    <s v="28011290100353"/>
    <n v="5"/>
    <s v="شريف شفيق جمال الدين خطاب "/>
    <s v="10004053"/>
    <s v="Charged-off"/>
    <s v="Charged-off"/>
    <x v="0"/>
    <s v="Qima"/>
    <n v="13243"/>
    <n v="19838"/>
    <n v="16218"/>
    <n v="1810"/>
    <n v="0"/>
    <m/>
    <x v="1"/>
    <n v="732"/>
    <x v="0"/>
    <n v="54"/>
    <x v="0"/>
    <n v="31"/>
  </r>
  <r>
    <s v="1000404603"/>
    <s v="27411140103855"/>
    <n v="3"/>
    <s v="علاء انصاري احمد زيدان"/>
    <s v="10004046"/>
    <s v="Bucket 5"/>
    <s v="Bucket 5"/>
    <x v="1"/>
    <s v="Qima"/>
    <n v="13235"/>
    <n v="20751"/>
    <n v="6261"/>
    <n v="1035"/>
    <n v="0"/>
    <m/>
    <x v="4"/>
    <n v="763"/>
    <x v="0"/>
    <n v="54"/>
    <x v="0"/>
    <n v="31"/>
  </r>
  <r>
    <s v="1000483501"/>
    <s v="29910060101677"/>
    <n v="1"/>
    <s v="محمد علاء أمام عجمي رفاعى"/>
    <s v="10004835"/>
    <s v="Bucket 6"/>
    <s v="Bucket 6"/>
    <x v="1"/>
    <s v="Qima"/>
    <n v="13195"/>
    <n v="20010"/>
    <n v="9075"/>
    <n v="1215"/>
    <n v="0"/>
    <m/>
    <x v="4"/>
    <n v="763"/>
    <x v="0"/>
    <n v="54"/>
    <x v="0"/>
    <n v="31"/>
  </r>
  <r>
    <s v="1000405302"/>
    <s v="28011290100353"/>
    <n v="5"/>
    <s v="شريف شفيق جمال الدين خطاب "/>
    <s v="10004053"/>
    <s v="Charged-off"/>
    <s v="Charged-off"/>
    <x v="0"/>
    <s v="Qima"/>
    <n v="13191"/>
    <n v="18381"/>
    <n v="14701"/>
    <n v="1840"/>
    <n v="0"/>
    <m/>
    <x v="1"/>
    <n v="732"/>
    <x v="0"/>
    <n v="54"/>
    <x v="0"/>
    <n v="31"/>
  </r>
  <r>
    <s v="1000520001"/>
    <s v="27801050102577"/>
    <n v="1"/>
    <s v="احمد نبيه السيد علي "/>
    <s v="10005200"/>
    <s v="Charged-off"/>
    <s v="Charged-off"/>
    <x v="0"/>
    <s v="Qima"/>
    <n v="13179"/>
    <n v="20220"/>
    <n v="10500"/>
    <n v="1215"/>
    <n v="0"/>
    <m/>
    <x v="3"/>
    <m/>
    <x v="0"/>
    <n v="54"/>
    <x v="0"/>
    <n v="31"/>
  </r>
  <r>
    <s v="1000441801"/>
    <s v="28201192602701"/>
    <n v="1"/>
    <s v="ليلي عبدالعاطي احمد محمد "/>
    <s v="10004418"/>
    <s v="Bucket 6"/>
    <s v="Bucket 6"/>
    <x v="1"/>
    <s v="Qima"/>
    <n v="13072"/>
    <n v="20477"/>
    <n v="6267"/>
    <n v="1015"/>
    <n v="0"/>
    <m/>
    <x v="1"/>
    <n v="732"/>
    <x v="0"/>
    <n v="54"/>
    <x v="0"/>
    <n v="31"/>
  </r>
  <r>
    <s v="1000032302"/>
    <s v="28204072102509"/>
    <n v="5"/>
    <s v="شيماء محمد علي محمد الصوابي "/>
    <s v="10000323"/>
    <s v="Charged-off"/>
    <s v="Charged-off"/>
    <x v="0"/>
    <s v="Qima"/>
    <n v="13070"/>
    <n v="20564"/>
    <n v="10259"/>
    <n v="1145"/>
    <n v="0"/>
    <m/>
    <x v="2"/>
    <n v="772"/>
    <x v="0"/>
    <n v="54"/>
    <x v="0"/>
    <n v="31"/>
  </r>
  <r>
    <s v="1000448801"/>
    <s v="29104021800502"/>
    <n v="1"/>
    <s v="هناء مصطفى عبدالحميد رجب سالم "/>
    <s v="10004488"/>
    <s v="Bucket 3"/>
    <s v="Bucket 3"/>
    <x v="1"/>
    <s v="Qima"/>
    <n v="13045"/>
    <n v="16734"/>
    <n v="4574"/>
    <n v="1520"/>
    <n v="0"/>
    <m/>
    <x v="2"/>
    <n v="772"/>
    <x v="0"/>
    <n v="54"/>
    <x v="0"/>
    <n v="31"/>
  </r>
  <r>
    <s v="1000001802"/>
    <s v="29010011601141"/>
    <n v="5"/>
    <s v="مني يسري محمد محمد صقر "/>
    <s v="10000018"/>
    <s v="Charged-off"/>
    <s v="Charged-off"/>
    <x v="0"/>
    <s v="Qima"/>
    <n v="13000"/>
    <n v="23149"/>
    <n v="6649"/>
    <n v="825"/>
    <n v="0"/>
    <m/>
    <x v="4"/>
    <n v="763"/>
    <x v="0"/>
    <n v="54"/>
    <x v="0"/>
    <n v="31"/>
  </r>
  <r>
    <s v="1000385001"/>
    <s v="28205221600173"/>
    <n v="1"/>
    <s v="خضر السيد خضر حسين خضر"/>
    <s v="10003850"/>
    <s v="Bucket 5"/>
    <s v="Bucket 5"/>
    <x v="1"/>
    <s v="Qima"/>
    <n v="12912"/>
    <n v="16965"/>
    <n v="11153"/>
    <n v="1940"/>
    <n v="0"/>
    <m/>
    <x v="4"/>
    <n v="763"/>
    <x v="0"/>
    <n v="54"/>
    <x v="0"/>
    <n v="31"/>
  </r>
  <r>
    <s v="1000200701"/>
    <s v="28606011606858"/>
    <n v="1"/>
    <s v="احمد جمال رجب سلامه"/>
    <s v="10002007"/>
    <s v="Bucket 3"/>
    <s v="Current"/>
    <x v="1"/>
    <s v="Qima"/>
    <n v="12905"/>
    <n v="22484"/>
    <n v="2804"/>
    <n v="820"/>
    <n v="2804"/>
    <d v="2025-10-09T00:00:00"/>
    <x v="3"/>
    <m/>
    <x v="0"/>
    <n v="54"/>
    <x v="0"/>
    <n v="31"/>
  </r>
  <r>
    <s v="1000692102"/>
    <s v="26808220200413"/>
    <n v="2"/>
    <s v="ايمن مسعد حنفى محمود "/>
    <s v="10006921"/>
    <s v="Bucket 3"/>
    <s v="Bucket 3"/>
    <x v="1"/>
    <s v="Qima"/>
    <n v="12885"/>
    <n v="15376"/>
    <n v="8191"/>
    <n v="2395"/>
    <n v="0"/>
    <m/>
    <x v="1"/>
    <n v="732"/>
    <x v="0"/>
    <n v="54"/>
    <x v="0"/>
    <n v="31"/>
  </r>
  <r>
    <s v="1000295601"/>
    <s v="26903050100624"/>
    <n v="1"/>
    <s v="سحر فؤاد محمد فهيم"/>
    <s v="10002956"/>
    <s v="Bucket 4"/>
    <s v="Bucket 4"/>
    <x v="1"/>
    <s v="Qima"/>
    <n v="12865"/>
    <n v="16443"/>
    <n v="6753"/>
    <n v="1615"/>
    <n v="0"/>
    <m/>
    <x v="1"/>
    <n v="732"/>
    <x v="0"/>
    <n v="54"/>
    <x v="0"/>
    <n v="31"/>
  </r>
  <r>
    <s v="1000456301"/>
    <s v="28310151300426"/>
    <n v="1"/>
    <s v="هبه السيد عمر اسماعيل محمد "/>
    <s v="10004563"/>
    <s v="Bucket 3"/>
    <s v="Bucket 3"/>
    <x v="1"/>
    <s v="Qima"/>
    <n v="12850"/>
    <n v="18654"/>
    <n v="3534"/>
    <n v="1080"/>
    <n v="0"/>
    <m/>
    <x v="2"/>
    <n v="772"/>
    <x v="0"/>
    <n v="54"/>
    <x v="0"/>
    <n v="31"/>
  </r>
  <r>
    <s v="1000421301"/>
    <s v="27807302400922"/>
    <n v="1"/>
    <s v="ساره جلال الدين عباس احمد "/>
    <s v="10004213"/>
    <s v="Bucket 4"/>
    <s v="Bucket 2"/>
    <x v="1"/>
    <s v="Qima"/>
    <n v="12830"/>
    <n v="16384"/>
    <n v="9889"/>
    <n v="2165"/>
    <n v="6000"/>
    <d v="2025-10-30T00:00:00"/>
    <x v="4"/>
    <n v="763"/>
    <x v="0"/>
    <n v="54"/>
    <x v="0"/>
    <n v="31"/>
  </r>
  <r>
    <s v="1000635701"/>
    <s v="28804050202698"/>
    <n v="1"/>
    <s v="محمد سامي محمد ابراهيم "/>
    <s v="10006357"/>
    <s v="Bucket 3"/>
    <s v="Bucket 3"/>
    <x v="1"/>
    <s v="Qima"/>
    <n v="12735"/>
    <n v="15045"/>
    <n v="5395"/>
    <n v="1930"/>
    <n v="0"/>
    <m/>
    <x v="3"/>
    <m/>
    <x v="0"/>
    <n v="54"/>
    <x v="0"/>
    <n v="31"/>
  </r>
  <r>
    <s v="1000838001"/>
    <s v="29406011503506"/>
    <n v="1"/>
    <s v="عواطف عبدالحكيم السعيد ابراهيم القصبي"/>
    <s v="10008380"/>
    <s v="Charged-off"/>
    <s v="Charged-off"/>
    <x v="0"/>
    <s v="Qima"/>
    <n v="12730"/>
    <n v="23068"/>
    <n v="7393"/>
    <n v="825"/>
    <n v="0"/>
    <m/>
    <x v="1"/>
    <n v="732"/>
    <x v="0"/>
    <n v="54"/>
    <x v="0"/>
    <n v="31"/>
  </r>
  <r>
    <s v="1000459101"/>
    <s v="29404182400397"/>
    <n v="2"/>
    <s v="دافيد مراد خلف ساويرس"/>
    <s v="10004591"/>
    <s v="Bucket 5"/>
    <s v="Bucket 5"/>
    <x v="1"/>
    <s v="Qima"/>
    <n v="12275"/>
    <n v="15625"/>
    <n v="10075"/>
    <n v="1850"/>
    <n v="859"/>
    <d v="2025-10-28T00:00:00"/>
    <x v="2"/>
    <n v="772"/>
    <x v="0"/>
    <n v="54"/>
    <x v="0"/>
    <n v="31"/>
  </r>
  <r>
    <s v="1000888201"/>
    <s v="28601061401007"/>
    <n v="1"/>
    <s v="اميره خيرى عبد الله راتب"/>
    <s v="10008882"/>
    <s v="Bucket 4"/>
    <s v="Current"/>
    <x v="1"/>
    <s v="Qima"/>
    <n v="12155"/>
    <n v="20211"/>
    <n v="3711"/>
    <n v="825"/>
    <n v="3711"/>
    <d v="2025-10-28T00:00:00"/>
    <x v="2"/>
    <n v="772"/>
    <x v="0"/>
    <n v="54"/>
    <x v="0"/>
    <n v="31"/>
  </r>
  <r>
    <s v="1000581501"/>
    <s v="28301010123599"/>
    <n v="1"/>
    <s v="تامر عبدالله عبدالباري جاد"/>
    <s v="10005815"/>
    <s v="Bucket 4"/>
    <s v="Bucket 3"/>
    <x v="1"/>
    <s v="Qima"/>
    <n v="12140"/>
    <n v="16570"/>
    <n v="4350"/>
    <n v="940"/>
    <n v="2000"/>
    <d v="2025-10-23T00:00:00"/>
    <x v="4"/>
    <n v="763"/>
    <x v="0"/>
    <n v="54"/>
    <x v="0"/>
    <n v="31"/>
  </r>
  <r>
    <s v="1000371201"/>
    <s v="27411230200396"/>
    <n v="1"/>
    <s v="وليد محمد عبداللطيف محمد "/>
    <s v="10003712"/>
    <s v="Bucket 6"/>
    <s v="Bucket 6"/>
    <x v="1"/>
    <s v="Qima"/>
    <n v="11860"/>
    <n v="17580"/>
    <n v="9075"/>
    <n v="1215"/>
    <n v="0"/>
    <m/>
    <x v="3"/>
    <m/>
    <x v="0"/>
    <n v="54"/>
    <x v="0"/>
    <n v="31"/>
  </r>
  <r>
    <s v="1000072301"/>
    <s v="27610280103271"/>
    <n v="1"/>
    <s v="محمد احمد مندوره السيد"/>
    <s v="10000723"/>
    <s v="Bucket 3"/>
    <s v="Bucket 2"/>
    <x v="1"/>
    <s v="Qima"/>
    <n v="11706"/>
    <n v="15168"/>
    <n v="3063"/>
    <n v="1345"/>
    <n v="1591"/>
    <d v="2025-10-29T00:00:00"/>
    <x v="1"/>
    <n v="732"/>
    <x v="0"/>
    <n v="54"/>
    <x v="0"/>
    <n v="31"/>
  </r>
  <r>
    <s v="1000878501"/>
    <s v="26904162101581"/>
    <n v="1"/>
    <s v="نادية احمد على حسين "/>
    <s v="10008785"/>
    <s v="Bucket 3"/>
    <s v="Current"/>
    <x v="1"/>
    <s v="Qima"/>
    <n v="11578"/>
    <n v="14545"/>
    <n v="3785"/>
    <n v="1345"/>
    <n v="3785"/>
    <d v="2025-10-23T00:00:00"/>
    <x v="2"/>
    <n v="772"/>
    <x v="0"/>
    <n v="54"/>
    <x v="0"/>
    <n v="31"/>
  </r>
  <r>
    <s v="1000253503"/>
    <s v="29209120300259"/>
    <n v="3"/>
    <s v="اسلام نصر قطب علي مرسي "/>
    <s v="10002535"/>
    <s v="Bucket 5"/>
    <s v="Bucket 5"/>
    <x v="1"/>
    <s v="Qima"/>
    <n v="11533"/>
    <n v="20543"/>
    <n v="3383"/>
    <n v="715"/>
    <n v="0"/>
    <m/>
    <x v="4"/>
    <n v="763"/>
    <x v="0"/>
    <n v="54"/>
    <x v="0"/>
    <n v="31"/>
  </r>
  <r>
    <s v="1000786501"/>
    <s v="28101130103436"/>
    <n v="1"/>
    <s v="احمد ايهاب ابو العباس عبد القادر "/>
    <s v="10007865"/>
    <s v="Bucket 4"/>
    <s v="Bucket 4"/>
    <x v="1"/>
    <s v="Qima"/>
    <n v="11385"/>
    <n v="13471"/>
    <n v="6421"/>
    <n v="1410"/>
    <n v="0"/>
    <m/>
    <x v="4"/>
    <n v="763"/>
    <x v="0"/>
    <n v="54"/>
    <x v="0"/>
    <n v="31"/>
  </r>
  <r>
    <s v="1000699903"/>
    <s v="29304170102124"/>
    <n v="3"/>
    <s v="نورهان محمد حسن خميس "/>
    <s v="10006999"/>
    <s v="Bucket 3"/>
    <s v="Bucket 2"/>
    <x v="1"/>
    <s v="Qima"/>
    <n v="11268"/>
    <n v="13418"/>
    <n v="7148"/>
    <n v="2090"/>
    <n v="2529"/>
    <d v="2025-10-11T00:00:00"/>
    <x v="3"/>
    <m/>
    <x v="0"/>
    <n v="54"/>
    <x v="0"/>
    <n v="31"/>
  </r>
  <r>
    <s v="1000014106"/>
    <s v="28603190103163"/>
    <n v="6"/>
    <s v="ماهينور عمر ابراهيم حسني "/>
    <s v="10000141"/>
    <s v="Bucket 2"/>
    <s v="Bucket 1"/>
    <x v="1"/>
    <s v="Qima"/>
    <n v="10985"/>
    <n v="17756"/>
    <n v="1691"/>
    <n v="765"/>
    <n v="872"/>
    <d v="2025-10-11T00:00:00"/>
    <x v="1"/>
    <n v="732"/>
    <x v="0"/>
    <n v="54"/>
    <x v="0"/>
    <n v="31"/>
  </r>
  <r>
    <s v="1000033402"/>
    <s v="27004210200573"/>
    <n v="2"/>
    <s v="خالد على سعيد الديب "/>
    <s v="10000334"/>
    <s v="Bucket 2"/>
    <s v="Bucket 2"/>
    <x v="1"/>
    <s v="Qima"/>
    <n v="10980"/>
    <n v="19687"/>
    <n v="1491"/>
    <n v="675"/>
    <n v="0"/>
    <m/>
    <x v="1"/>
    <n v="732"/>
    <x v="0"/>
    <n v="54"/>
    <x v="0"/>
    <n v="31"/>
  </r>
  <r>
    <s v="1000013701"/>
    <s v="28301301304035"/>
    <n v="1"/>
    <s v="علي عبد الله محسوب عبد الله "/>
    <s v="10000137"/>
    <s v="Charged-off"/>
    <s v="Charged-off"/>
    <x v="0"/>
    <s v="Qima"/>
    <n v="10965"/>
    <n v="16571"/>
    <n v="8451"/>
    <n v="1015"/>
    <n v="0"/>
    <m/>
    <x v="3"/>
    <m/>
    <x v="0"/>
    <n v="54"/>
    <x v="0"/>
    <n v="31"/>
  </r>
  <r>
    <s v="1000292301"/>
    <s v="29003030300198"/>
    <n v="1"/>
    <s v="ابراهيم السيد محمد ابو عوض "/>
    <s v="10002923"/>
    <s v="Charged-off"/>
    <s v="Charged-off"/>
    <x v="0"/>
    <s v="Qima"/>
    <n v="10795"/>
    <n v="16186"/>
    <n v="14561"/>
    <n v="1625"/>
    <n v="0"/>
    <m/>
    <x v="1"/>
    <n v="732"/>
    <x v="0"/>
    <n v="54"/>
    <x v="0"/>
    <n v="31"/>
  </r>
  <r>
    <s v="1000683901"/>
    <s v="29603141701792"/>
    <n v="1"/>
    <s v="احمد جلال عبده العموري"/>
    <s v="10006839"/>
    <s v="Bucket 4"/>
    <s v="Bucket 2"/>
    <x v="1"/>
    <s v="Qima"/>
    <n v="10705"/>
    <n v="14810"/>
    <n v="3810"/>
    <n v="1000"/>
    <n v="2000"/>
    <d v="2025-10-20T00:00:00"/>
    <x v="2"/>
    <n v="772"/>
    <x v="0"/>
    <n v="54"/>
    <x v="0"/>
    <n v="31"/>
  </r>
  <r>
    <s v="1000404602"/>
    <s v="27411140103855"/>
    <n v="3"/>
    <s v="علاء انصاري احمد زيدان"/>
    <s v="10004046"/>
    <s v="Bucket 5"/>
    <s v="Bucket 5"/>
    <x v="1"/>
    <s v="Qima"/>
    <n v="10649"/>
    <n v="19485"/>
    <n v="3105"/>
    <n v="630"/>
    <n v="0"/>
    <m/>
    <x v="4"/>
    <n v="763"/>
    <x v="0"/>
    <n v="54"/>
    <x v="0"/>
    <n v="31"/>
  </r>
  <r>
    <s v="1000159701"/>
    <s v="27907130400229"/>
    <n v="1"/>
    <s v="امل محمد زغلول محمد العزازي"/>
    <s v="10001597"/>
    <s v="Bucket 4"/>
    <s v="Bucket 3"/>
    <x v="1"/>
    <s v="Qima"/>
    <n v="10441"/>
    <n v="14657"/>
    <n v="3492"/>
    <n v="1015"/>
    <n v="21"/>
    <d v="2025-10-21T00:00:00"/>
    <x v="4"/>
    <n v="763"/>
    <x v="0"/>
    <n v="54"/>
    <x v="0"/>
    <n v="31"/>
  </r>
  <r>
    <s v="1000224401"/>
    <s v="28103202103609"/>
    <n v="5"/>
    <s v="دعاء محمد علي عطيتو اسماعيل"/>
    <s v="10002244"/>
    <s v="Bucket 4"/>
    <s v="Bucket 4"/>
    <x v="1"/>
    <s v="Qima"/>
    <n v="10410"/>
    <n v="14215"/>
    <n v="5710"/>
    <n v="1215"/>
    <n v="0"/>
    <m/>
    <x v="4"/>
    <n v="763"/>
    <x v="0"/>
    <n v="54"/>
    <x v="0"/>
    <n v="31"/>
  </r>
  <r>
    <s v="1000001801"/>
    <s v="29010011601141"/>
    <n v="5"/>
    <s v="مني يسري محمد محمد صقر "/>
    <s v="10000018"/>
    <s v="Charged-off"/>
    <s v="Charged-off"/>
    <x v="0"/>
    <s v="Qima"/>
    <n v="10410"/>
    <n v="16685"/>
    <n v="7885"/>
    <n v="880"/>
    <n v="0"/>
    <m/>
    <x v="4"/>
    <n v="763"/>
    <x v="0"/>
    <n v="54"/>
    <x v="0"/>
    <n v="31"/>
  </r>
  <r>
    <s v="1000255603"/>
    <s v="28403230101241"/>
    <n v="5"/>
    <s v="سماح شوكت عبد الراضي محمود "/>
    <s v="10002556"/>
    <s v="Bucket 6"/>
    <s v="Bucket 6"/>
    <x v="1"/>
    <s v="Qima"/>
    <n v="10378"/>
    <n v="19508"/>
    <n v="3778"/>
    <n v="605"/>
    <n v="0"/>
    <m/>
    <x v="3"/>
    <m/>
    <x v="0"/>
    <n v="54"/>
    <x v="0"/>
    <n v="31"/>
  </r>
  <r>
    <s v="1000300801"/>
    <s v="29709150102373"/>
    <n v="1"/>
    <s v="احمد ياسر حسين احمد"/>
    <s v="10003008"/>
    <s v="Bucket 3"/>
    <s v="Bucket 3"/>
    <x v="1"/>
    <s v="Qima"/>
    <n v="9975"/>
    <n v="12740"/>
    <n v="3020"/>
    <n v="1215"/>
    <n v="0"/>
    <m/>
    <x v="3"/>
    <m/>
    <x v="0"/>
    <n v="54"/>
    <x v="0"/>
    <n v="31"/>
  </r>
  <r>
    <s v="1000014105"/>
    <s v="28603190103163"/>
    <n v="6"/>
    <s v="ماهينور عمر ابراهيم حسني "/>
    <s v="10000141"/>
    <s v="Bucket 3"/>
    <s v="Bucket 1"/>
    <x v="1"/>
    <s v="Qima"/>
    <n v="9760"/>
    <n v="16117"/>
    <n v="2257"/>
    <n v="660"/>
    <n v="1551"/>
    <d v="2025-10-11T00:00:00"/>
    <x v="1"/>
    <n v="732"/>
    <x v="0"/>
    <n v="54"/>
    <x v="0"/>
    <n v="31"/>
  </r>
  <r>
    <s v="1000530101"/>
    <s v="29609011204051"/>
    <n v="2"/>
    <s v="احمد السيد الحمادي السيد سالم"/>
    <s v="10005301"/>
    <s v="Bucket 5"/>
    <s v="Bucket 5"/>
    <x v="1"/>
    <s v="Qima"/>
    <n v="9551"/>
    <n v="13065"/>
    <n v="7865"/>
    <n v="1300"/>
    <n v="0"/>
    <m/>
    <x v="4"/>
    <n v="763"/>
    <x v="0"/>
    <n v="54"/>
    <x v="0"/>
    <n v="31"/>
  </r>
  <r>
    <s v="1000197102"/>
    <s v="27401101800462"/>
    <n v="2"/>
    <s v="لمياء محمد عبدالحميد درغام "/>
    <s v="10001971"/>
    <s v="Bucket 5"/>
    <s v="Bucket 5"/>
    <x v="1"/>
    <s v="Qima"/>
    <n v="9525"/>
    <n v="13099"/>
    <n v="13099"/>
    <n v="2165"/>
    <n v="0"/>
    <m/>
    <x v="3"/>
    <m/>
    <x v="0"/>
    <n v="54"/>
    <x v="0"/>
    <n v="31"/>
  </r>
  <r>
    <s v="1000119002"/>
    <s v="27812290104153"/>
    <n v="3"/>
    <s v="احمد اسماعيل عبدالعزيز فتح الباب"/>
    <s v="10001190"/>
    <s v="Bucket 2"/>
    <s v="Bucket 1"/>
    <x v="1"/>
    <s v="Qima"/>
    <n v="9359"/>
    <n v="12681"/>
    <n v="2121"/>
    <n v="960"/>
    <n v="1094"/>
    <d v="2025-10-11T00:00:00"/>
    <x v="2"/>
    <n v="772"/>
    <x v="0"/>
    <n v="54"/>
    <x v="0"/>
    <n v="31"/>
  </r>
  <r>
    <s v="1000047701"/>
    <s v="27306150200877"/>
    <n v="2"/>
    <s v="محمد احمد محمد على"/>
    <s v="10000477"/>
    <s v="Charged-off"/>
    <s v="Charged-off"/>
    <x v="0"/>
    <s v="Qima"/>
    <n v="9195"/>
    <n v="13613"/>
    <n v="7348"/>
    <n v="895"/>
    <n v="0"/>
    <m/>
    <x v="4"/>
    <n v="763"/>
    <x v="0"/>
    <n v="54"/>
    <x v="0"/>
    <n v="31"/>
  </r>
  <r>
    <s v="1000372001"/>
    <s v="30109250201148"/>
    <n v="1"/>
    <s v="اسماء مصطفى فتح الله عبد السميع"/>
    <s v="10003720"/>
    <s v="Bucket 5"/>
    <s v="Bucket 5"/>
    <x v="1"/>
    <s v="Qima"/>
    <n v="9165"/>
    <n v="17233"/>
    <n v="3358"/>
    <n v="555"/>
    <n v="0"/>
    <m/>
    <x v="1"/>
    <n v="732"/>
    <x v="0"/>
    <n v="54"/>
    <x v="0"/>
    <n v="31"/>
  </r>
  <r>
    <s v="1000119001"/>
    <s v="27812290104153"/>
    <n v="3"/>
    <s v="احمد اسماعيل عبدالعزيز فتح الباب"/>
    <s v="10001190"/>
    <s v="Bucket 3"/>
    <s v="Bucket 2"/>
    <x v="1"/>
    <s v="Qima"/>
    <n v="9155"/>
    <n v="11427"/>
    <n v="5267"/>
    <n v="1540"/>
    <n v="2745"/>
    <d v="2025-10-11T00:00:00"/>
    <x v="2"/>
    <n v="772"/>
    <x v="0"/>
    <n v="54"/>
    <x v="0"/>
    <n v="31"/>
  </r>
  <r>
    <s v="1000590301"/>
    <s v="28110140100612"/>
    <n v="1"/>
    <s v="عاطف محمد محمد عبدالرحمن"/>
    <s v="10005903"/>
    <s v="Bucket 4"/>
    <s v="Bucket 4"/>
    <x v="1"/>
    <s v="Qima"/>
    <n v="9050"/>
    <n v="12558"/>
    <n v="3328"/>
    <n v="710"/>
    <n v="0"/>
    <m/>
    <x v="2"/>
    <n v="772"/>
    <x v="0"/>
    <n v="54"/>
    <x v="0"/>
    <n v="31"/>
  </r>
  <r>
    <s v="1000303601"/>
    <s v="29406190104015"/>
    <n v="3"/>
    <s v="مصطفى هشام كامل عطيه"/>
    <s v="10003036"/>
    <s v="Bucket 4"/>
    <s v="Bucket 3"/>
    <x v="1"/>
    <s v="Qima"/>
    <n v="8970"/>
    <n v="10952"/>
    <n v="6392"/>
    <n v="1520"/>
    <n v="1194"/>
    <d v="2025-10-07T00:00:00"/>
    <x v="2"/>
    <n v="772"/>
    <x v="0"/>
    <n v="54"/>
    <x v="0"/>
    <n v="31"/>
  </r>
  <r>
    <s v="1000407101"/>
    <s v="29411251300444"/>
    <n v="2"/>
    <s v="ندى طارق احمد فؤاد احمد "/>
    <s v="10004071"/>
    <s v="Bucket 4"/>
    <s v="Bucket 4"/>
    <x v="1"/>
    <s v="Qima"/>
    <n v="8957"/>
    <n v="13114"/>
    <n v="2684"/>
    <n v="745"/>
    <n v="0"/>
    <m/>
    <x v="4"/>
    <n v="763"/>
    <x v="0"/>
    <n v="54"/>
    <x v="0"/>
    <n v="31"/>
  </r>
  <r>
    <s v="1000670302"/>
    <s v="29410240202878"/>
    <n v="1"/>
    <s v="احمد محمد خليل محمد خليل"/>
    <s v="10006703"/>
    <s v="Bucket 6"/>
    <s v="Bucket 6"/>
    <x v="1"/>
    <s v="Qima"/>
    <n v="8900"/>
    <n v="10475"/>
    <n v="10475"/>
    <n v="1500"/>
    <n v="0"/>
    <m/>
    <x v="4"/>
    <n v="763"/>
    <x v="0"/>
    <n v="54"/>
    <x v="0"/>
    <n v="31"/>
  </r>
  <r>
    <s v="1000301401"/>
    <s v="27710261700076"/>
    <n v="2"/>
    <s v="ايمن احمد عزت حامد عميره"/>
    <s v="10003014"/>
    <s v="Charged-off"/>
    <s v="Charged-off"/>
    <x v="0"/>
    <s v="Qima"/>
    <n v="8769"/>
    <n v="10530"/>
    <n v="9360"/>
    <n v="1170"/>
    <n v="0"/>
    <m/>
    <x v="4"/>
    <n v="763"/>
    <x v="0"/>
    <n v="54"/>
    <x v="0"/>
    <n v="31"/>
  </r>
  <r>
    <s v="1000404601"/>
    <s v="27411140103855"/>
    <n v="3"/>
    <s v="علاء انصاري احمد زيدان"/>
    <s v="10004046"/>
    <s v="Bucket 5"/>
    <s v="Bucket 5"/>
    <x v="1"/>
    <s v="Qima"/>
    <n v="8640"/>
    <n v="13634"/>
    <n v="4114"/>
    <n v="680"/>
    <n v="0"/>
    <m/>
    <x v="4"/>
    <n v="763"/>
    <x v="0"/>
    <n v="54"/>
    <x v="0"/>
    <n v="31"/>
  </r>
  <r>
    <s v="1000180501"/>
    <s v="27607140104055"/>
    <n v="2"/>
    <s v="محمد سلطان حنفى ابو العلا"/>
    <s v="10001805"/>
    <s v="Charged-off"/>
    <s v="Charged-off"/>
    <x v="0"/>
    <s v="Qima"/>
    <n v="8640"/>
    <n v="14077"/>
    <n v="5917"/>
    <n v="680"/>
    <n v="0"/>
    <m/>
    <x v="1"/>
    <n v="732"/>
    <x v="0"/>
    <n v="54"/>
    <x v="0"/>
    <n v="31"/>
  </r>
  <r>
    <s v="1000586902"/>
    <s v="27710140100501"/>
    <n v="2"/>
    <s v="بثينه ادفاوى دياب عثمان"/>
    <s v="10005869"/>
    <s v="Bucket 3"/>
    <s v="Bucket 2"/>
    <x v="1"/>
    <s v="Qima"/>
    <n v="8613"/>
    <n v="11212"/>
    <n v="1982"/>
    <n v="710"/>
    <n v="0"/>
    <m/>
    <x v="4"/>
    <n v="763"/>
    <x v="0"/>
    <n v="54"/>
    <x v="0"/>
    <n v="31"/>
  </r>
  <r>
    <s v="1000450802"/>
    <s v="28106120201351"/>
    <n v="2"/>
    <s v="ايمن حامد عبدالجليل عبدالله"/>
    <s v="10004508"/>
    <s v="Bucket 4"/>
    <s v="Bucket 2"/>
    <x v="1"/>
    <s v="Qima"/>
    <n v="8543"/>
    <n v="12721"/>
    <n v="2540"/>
    <n v="680"/>
    <n v="1657"/>
    <d v="2025-10-28T00:00:00"/>
    <x v="3"/>
    <m/>
    <x v="0"/>
    <n v="54"/>
    <x v="0"/>
    <n v="31"/>
  </r>
  <r>
    <s v="1000867503"/>
    <s v="27611240100658"/>
    <n v="3"/>
    <s v="تامر حمدي مصطفى اسماعيل "/>
    <s v="10008675"/>
    <s v="Bucket 6"/>
    <s v="Current"/>
    <x v="1"/>
    <s v="Qima"/>
    <n v="8485"/>
    <n v="15246"/>
    <n v="4146"/>
    <n v="555"/>
    <n v="4107"/>
    <d v="2025-10-04T00:00:00"/>
    <x v="1"/>
    <n v="732"/>
    <x v="0"/>
    <n v="54"/>
    <x v="0"/>
    <n v="31"/>
  </r>
  <r>
    <s v="1000632701"/>
    <s v="28609240300206"/>
    <n v="1"/>
    <s v="ساره السيد محمد محمد باغة"/>
    <s v="10006327"/>
    <s v="Bucket 3"/>
    <s v="Current"/>
    <x v="1"/>
    <s v="Qima"/>
    <n v="8474"/>
    <n v="10814"/>
    <n v="1504"/>
    <n v="665"/>
    <n v="1504"/>
    <d v="2025-10-21T00:00:00"/>
    <x v="3"/>
    <m/>
    <x v="0"/>
    <n v="54"/>
    <x v="0"/>
    <n v="31"/>
  </r>
  <r>
    <s v="1000268802"/>
    <s v="29109140200779"/>
    <n v="2"/>
    <s v="محمد السعيدانورمحمد زيتون"/>
    <s v="10002688"/>
    <s v="Bucket 3"/>
    <s v="Bucket 3"/>
    <x v="1"/>
    <s v="Qima"/>
    <n v="8360"/>
    <n v="10843"/>
    <n v="3458"/>
    <n v="1055"/>
    <n v="0"/>
    <m/>
    <x v="3"/>
    <m/>
    <x v="0"/>
    <n v="54"/>
    <x v="0"/>
    <n v="31"/>
  </r>
  <r>
    <s v="1000144402"/>
    <s v="26604031400351"/>
    <n v="2"/>
    <s v="حسني عبدالرؤوف حسين علي "/>
    <s v="10001444"/>
    <s v="Charged-off"/>
    <s v="Charged-off"/>
    <x v="0"/>
    <s v="Qima"/>
    <n v="8329"/>
    <n v="13192"/>
    <n v="5712"/>
    <n v="680"/>
    <n v="0"/>
    <m/>
    <x v="3"/>
    <m/>
    <x v="0"/>
    <n v="54"/>
    <x v="0"/>
    <n v="31"/>
  </r>
  <r>
    <s v="1000131201"/>
    <s v="28301112103347"/>
    <n v="1"/>
    <s v="هند فواز ابوالوفا حسن"/>
    <s v="10001312"/>
    <s v="Bucket 5"/>
    <s v="Bucket 5"/>
    <x v="1"/>
    <s v="Qima"/>
    <n v="8216"/>
    <n v="10208"/>
    <n v="10208"/>
    <n v="3240"/>
    <n v="0"/>
    <m/>
    <x v="1"/>
    <n v="732"/>
    <x v="0"/>
    <n v="54"/>
    <x v="0"/>
    <n v="31"/>
  </r>
  <r>
    <s v="1000124701"/>
    <s v="28504112201185"/>
    <n v="1"/>
    <s v="اميمه علي حسن حسين"/>
    <s v="10001247"/>
    <s v="Charged-off"/>
    <s v="Charged-off"/>
    <x v="0"/>
    <s v="Qima"/>
    <n v="8010"/>
    <n v="12568"/>
    <n v="5768"/>
    <n v="680"/>
    <n v="0"/>
    <m/>
    <x v="2"/>
    <n v="772"/>
    <x v="0"/>
    <n v="54"/>
    <x v="0"/>
    <n v="31"/>
  </r>
  <r>
    <s v="1000699902"/>
    <s v="29304170102124"/>
    <n v="3"/>
    <s v="نورهان محمد حسن خميس "/>
    <s v="10006999"/>
    <s v="Bucket 3"/>
    <s v="Bucket 2"/>
    <x v="1"/>
    <s v="Qima"/>
    <n v="7940"/>
    <n v="9502"/>
    <n v="5062"/>
    <n v="1480"/>
    <n v="1791"/>
    <d v="2025-10-13T00:00:00"/>
    <x v="3"/>
    <m/>
    <x v="0"/>
    <n v="54"/>
    <x v="0"/>
    <n v="31"/>
  </r>
  <r>
    <s v="1000937502"/>
    <s v="28912280100263"/>
    <n v="2"/>
    <s v="اسماء احمد عبدالرحمن احمد "/>
    <s v="10009375"/>
    <s v="Charged-off"/>
    <s v="Charged-off"/>
    <x v="0"/>
    <s v="Qima"/>
    <n v="7940"/>
    <n v="12644"/>
    <n v="6315"/>
    <n v="705"/>
    <n v="0"/>
    <m/>
    <x v="1"/>
    <n v="732"/>
    <x v="0"/>
    <n v="54"/>
    <x v="0"/>
    <n v="31"/>
  </r>
  <r>
    <s v="1000789502"/>
    <s v="28812030300203"/>
    <n v="2"/>
    <s v="نشوي محمد محمد سليمان الحوت "/>
    <s v="10007895"/>
    <s v="Charged-off"/>
    <s v="Charged-off"/>
    <x v="0"/>
    <s v="Qima"/>
    <n v="7914"/>
    <n v="11111"/>
    <n v="11111"/>
    <n v="1410"/>
    <n v="0"/>
    <m/>
    <x v="3"/>
    <m/>
    <x v="0"/>
    <n v="54"/>
    <x v="0"/>
    <n v="31"/>
  </r>
  <r>
    <s v="1000014104"/>
    <s v="28603190103163"/>
    <n v="6"/>
    <s v="ماهينور عمر ابراهيم حسني "/>
    <s v="10000141"/>
    <s v="Bucket 3"/>
    <s v="Bucket 1"/>
    <x v="1"/>
    <s v="Qima"/>
    <n v="7715"/>
    <n v="12647"/>
    <n v="1847"/>
    <n v="540"/>
    <n v="1269"/>
    <d v="2025-10-11T00:00:00"/>
    <x v="1"/>
    <n v="732"/>
    <x v="0"/>
    <n v="54"/>
    <x v="0"/>
    <n v="31"/>
  </r>
  <r>
    <s v="1000171002"/>
    <s v="28811152103615"/>
    <n v="3"/>
    <s v="فرج مختار سعد الدين عرابي"/>
    <s v="10001710"/>
    <s v="Bucket 4"/>
    <s v="Bucket 2"/>
    <x v="1"/>
    <s v="Qima"/>
    <n v="7675"/>
    <n v="11356"/>
    <n v="3196"/>
    <n v="680"/>
    <n v="1693"/>
    <d v="2025-10-30T00:00:00"/>
    <x v="1"/>
    <n v="732"/>
    <x v="0"/>
    <n v="54"/>
    <x v="0"/>
    <n v="31"/>
  </r>
  <r>
    <s v="1000589701"/>
    <s v="27805200201809"/>
    <n v="1"/>
    <s v="مروه محمد السيد امين"/>
    <s v="10005897"/>
    <s v="Bucket 4"/>
    <s v="Bucket 1"/>
    <x v="1"/>
    <s v="Qima"/>
    <n v="7540"/>
    <n v="8901"/>
    <n v="7271"/>
    <n v="1630"/>
    <n v="4950"/>
    <d v="2025-10-13T00:00:00"/>
    <x v="4"/>
    <n v="763"/>
    <x v="0"/>
    <n v="54"/>
    <x v="0"/>
    <n v="31"/>
  </r>
  <r>
    <s v="1000255601"/>
    <s v="28403230101241"/>
    <n v="5"/>
    <s v="سماح شوكت عبد الراضي محمود "/>
    <s v="10002556"/>
    <s v="Bucket 5"/>
    <s v="Bucket 5"/>
    <x v="1"/>
    <s v="Qima"/>
    <n v="7530"/>
    <n v="10986"/>
    <n v="4416"/>
    <n v="730"/>
    <n v="0"/>
    <m/>
    <x v="3"/>
    <m/>
    <x v="0"/>
    <n v="54"/>
    <x v="0"/>
    <n v="31"/>
  </r>
  <r>
    <s v="1000115802"/>
    <s v="29711220104047"/>
    <n v="3"/>
    <s v="بسنت ايمن ابراهيم محمد "/>
    <s v="10001158"/>
    <s v="Bucket 4"/>
    <s v="Bucket 2"/>
    <x v="1"/>
    <s v="Qima"/>
    <n v="7503"/>
    <n v="9383"/>
    <n v="4523"/>
    <n v="1215"/>
    <n v="1871"/>
    <d v="2025-10-14T00:00:00"/>
    <x v="3"/>
    <m/>
    <x v="0"/>
    <n v="54"/>
    <x v="0"/>
    <n v="31"/>
  </r>
  <r>
    <s v="1000207101"/>
    <s v="28809192100045"/>
    <n v="1"/>
    <s v="غاده محمد عبد المجيد الخولي "/>
    <s v="10002071"/>
    <s v="Charged-off"/>
    <s v="Charged-off"/>
    <x v="0"/>
    <s v="Qima"/>
    <n v="7448"/>
    <n v="9199"/>
    <n v="9199"/>
    <n v="1250"/>
    <n v="0"/>
    <m/>
    <x v="3"/>
    <m/>
    <x v="0"/>
    <n v="54"/>
    <x v="0"/>
    <n v="31"/>
  </r>
  <r>
    <s v="1000692701"/>
    <s v="28002090200532"/>
    <n v="2"/>
    <s v="اسلام مسعد حنفى محمود "/>
    <s v="10006927"/>
    <s v="Bucket 6"/>
    <s v="Bucket 6"/>
    <x v="1"/>
    <s v="Qima"/>
    <n v="7430"/>
    <n v="10977"/>
    <n v="6087"/>
    <n v="815"/>
    <n v="0"/>
    <m/>
    <x v="3"/>
    <m/>
    <x v="0"/>
    <n v="54"/>
    <x v="0"/>
    <n v="31"/>
  </r>
  <r>
    <s v="1000208902"/>
    <s v="29005281601688"/>
    <n v="2"/>
    <s v="نظيره محمد عبد الحليم حسن"/>
    <s v="10002089"/>
    <s v="Bucket 4"/>
    <s v="Current"/>
    <x v="1"/>
    <s v="Qima"/>
    <n v="7430"/>
    <n v="13119"/>
    <n v="2079"/>
    <n v="480"/>
    <n v="2079"/>
    <d v="2025-10-30T00:00:00"/>
    <x v="1"/>
    <n v="732"/>
    <x v="0"/>
    <n v="54"/>
    <x v="0"/>
    <n v="31"/>
  </r>
  <r>
    <s v="1000415902"/>
    <s v="28609052500079"/>
    <n v="3"/>
    <s v="هشام كمال توفيق عبدالمجيد "/>
    <s v="10004159"/>
    <s v="Bucket 6"/>
    <s v="Bucket 5"/>
    <x v="1"/>
    <s v="Qima"/>
    <n v="7357"/>
    <n v="14559"/>
    <n v="3249"/>
    <n v="435"/>
    <n v="1143"/>
    <d v="2025-10-24T00:00:00"/>
    <x v="2"/>
    <n v="772"/>
    <x v="0"/>
    <n v="54"/>
    <x v="0"/>
    <n v="31"/>
  </r>
  <r>
    <s v="1000789501"/>
    <s v="28812030300203"/>
    <n v="2"/>
    <s v="نشوي محمد محمد سليمان الحوت "/>
    <s v="10007895"/>
    <s v="Bucket 6"/>
    <s v="Bucket 6"/>
    <x v="1"/>
    <s v="Qima"/>
    <n v="7337"/>
    <n v="10533"/>
    <n v="10533"/>
    <n v="1410"/>
    <n v="0"/>
    <m/>
    <x v="3"/>
    <m/>
    <x v="0"/>
    <n v="54"/>
    <x v="0"/>
    <n v="31"/>
  </r>
  <r>
    <s v="1000772301"/>
    <s v="26701281801968"/>
    <n v="1"/>
    <s v="زينب فتحي ابراهيم جمعه"/>
    <s v="10007723"/>
    <s v="Bucket 3"/>
    <s v="Bucket 3"/>
    <x v="1"/>
    <s v="Qima"/>
    <n v="7314"/>
    <n v="8986"/>
    <n v="2506"/>
    <n v="1080"/>
    <n v="0"/>
    <m/>
    <x v="1"/>
    <n v="732"/>
    <x v="0"/>
    <n v="54"/>
    <x v="0"/>
    <n v="31"/>
  </r>
  <r>
    <s v="1000032304"/>
    <s v="28204072102509"/>
    <n v="5"/>
    <s v="شيماء محمد علي محمد الصوابي "/>
    <s v="10000323"/>
    <s v="Charged-off"/>
    <s v="Charged-off"/>
    <x v="0"/>
    <s v="Qima"/>
    <n v="7252"/>
    <n v="11495"/>
    <n v="5735"/>
    <n v="640"/>
    <n v="0"/>
    <m/>
    <x v="2"/>
    <n v="772"/>
    <x v="0"/>
    <n v="54"/>
    <x v="0"/>
    <n v="31"/>
  </r>
  <r>
    <s v="1000224404"/>
    <s v="28103202103609"/>
    <n v="5"/>
    <s v="دعاء محمد علي عطيتو اسماعيل"/>
    <s v="10002244"/>
    <s v="Bucket 5"/>
    <s v="Bucket 5"/>
    <x v="1"/>
    <s v="Qima"/>
    <n v="7205"/>
    <n v="9180"/>
    <n v="6580"/>
    <n v="1300"/>
    <n v="0"/>
    <m/>
    <x v="4"/>
    <n v="763"/>
    <x v="0"/>
    <n v="54"/>
    <x v="0"/>
    <n v="31"/>
  </r>
  <r>
    <s v="1000178001"/>
    <s v="28312170200648"/>
    <n v="1"/>
    <s v="الشيماء محمد احمد عبدالرحمن حسن"/>
    <s v="10001780"/>
    <s v="Bucket 4"/>
    <s v="Bucket 3"/>
    <x v="1"/>
    <s v="Qima"/>
    <n v="6910"/>
    <n v="8385"/>
    <n v="5515"/>
    <n v="1435"/>
    <n v="608"/>
    <d v="2025-10-17T00:00:00"/>
    <x v="2"/>
    <n v="772"/>
    <x v="0"/>
    <n v="54"/>
    <x v="0"/>
    <n v="31"/>
  </r>
  <r>
    <s v="1000771501"/>
    <s v="28705152400038"/>
    <n v="2"/>
    <s v="احمد سعد حسين سعد"/>
    <s v="10007715"/>
    <s v="Bucket 6"/>
    <s v="Bucket 6"/>
    <x v="1"/>
    <s v="Qima"/>
    <n v="6905"/>
    <n v="11278"/>
    <n v="3553"/>
    <n v="515"/>
    <n v="0"/>
    <m/>
    <x v="4"/>
    <n v="763"/>
    <x v="0"/>
    <n v="54"/>
    <x v="0"/>
    <n v="31"/>
  </r>
  <r>
    <s v="1000867501"/>
    <s v="27611240100658"/>
    <n v="3"/>
    <s v="تامر حمدي مصطفى اسماعيل "/>
    <s v="10008675"/>
    <s v="Bucket 6"/>
    <s v="Current"/>
    <x v="1"/>
    <s v="Qima"/>
    <n v="6905"/>
    <n v="11571"/>
    <n v="3846"/>
    <n v="515"/>
    <n v="3810"/>
    <d v="2025-10-04T00:00:00"/>
    <x v="1"/>
    <n v="732"/>
    <x v="0"/>
    <n v="54"/>
    <x v="0"/>
    <n v="31"/>
  </r>
  <r>
    <s v="1000224403"/>
    <s v="28103202103609"/>
    <n v="5"/>
    <s v="دعاء محمد علي عطيتو اسماعيل"/>
    <s v="10002244"/>
    <s v="Bucket 4"/>
    <s v="Bucket 4"/>
    <x v="1"/>
    <s v="Qima"/>
    <n v="6735"/>
    <n v="8710"/>
    <n v="6110"/>
    <n v="1300"/>
    <n v="0"/>
    <m/>
    <x v="4"/>
    <n v="763"/>
    <x v="0"/>
    <n v="54"/>
    <x v="0"/>
    <n v="31"/>
  </r>
  <r>
    <s v="1000874201"/>
    <s v="28309201403754"/>
    <n v="1"/>
    <s v="محمود موسى محمود موسى جبر "/>
    <s v="10008742"/>
    <s v="Bucket 3"/>
    <s v="Bucket 3"/>
    <x v="1"/>
    <s v="Qima"/>
    <n v="6640"/>
    <n v="7382"/>
    <n v="5712"/>
    <n v="1670"/>
    <n v="0"/>
    <m/>
    <x v="4"/>
    <n v="763"/>
    <x v="0"/>
    <n v="54"/>
    <x v="0"/>
    <n v="31"/>
  </r>
  <r>
    <s v="1000821202"/>
    <s v="26707012603112"/>
    <n v="2"/>
    <s v="عمرو سعيد محمد عبدالمنعم "/>
    <s v="10008212"/>
    <s v="Charged-off"/>
    <s v="Charged-off"/>
    <x v="0"/>
    <s v="Qima"/>
    <n v="6575"/>
    <n v="10429"/>
    <n v="5509"/>
    <n v="615"/>
    <n v="0"/>
    <m/>
    <x v="4"/>
    <n v="763"/>
    <x v="0"/>
    <n v="54"/>
    <x v="0"/>
    <n v="31"/>
  </r>
  <r>
    <s v="1000288502"/>
    <s v="28607142602854"/>
    <n v="3"/>
    <s v="حاتم أحمد السيد أحمد "/>
    <s v="10002885"/>
    <s v="Bucket 6"/>
    <s v="Bucket 6"/>
    <x v="1"/>
    <s v="Qima"/>
    <n v="6410"/>
    <n v="9233"/>
    <n v="8143"/>
    <n v="1090"/>
    <n v="0"/>
    <m/>
    <x v="2"/>
    <n v="772"/>
    <x v="0"/>
    <n v="54"/>
    <x v="0"/>
    <n v="31"/>
  </r>
  <r>
    <s v="1000628704"/>
    <s v="28211221403459"/>
    <n v="3"/>
    <s v="وائل رمضان عبدالصادق محي العزب "/>
    <s v="10006287"/>
    <s v="Charged-off"/>
    <s v="Charged-off"/>
    <x v="0"/>
    <s v="Qima"/>
    <n v="6369"/>
    <n v="10733"/>
    <n v="3853"/>
    <n v="430"/>
    <n v="0"/>
    <m/>
    <x v="1"/>
    <n v="732"/>
    <x v="0"/>
    <n v="54"/>
    <x v="0"/>
    <n v="31"/>
  </r>
  <r>
    <s v="1000415901"/>
    <s v="28609052500079"/>
    <n v="3"/>
    <s v="هشام كمال توفيق عبدالمجيد "/>
    <s v="10004159"/>
    <s v="Bucket 6"/>
    <s v="Bucket 5"/>
    <x v="1"/>
    <s v="Qima"/>
    <n v="6345"/>
    <n v="12552"/>
    <n v="2802"/>
    <n v="375"/>
    <n v="533"/>
    <d v="2025-10-24T00:00:00"/>
    <x v="2"/>
    <n v="772"/>
    <x v="0"/>
    <n v="54"/>
    <x v="0"/>
    <n v="31"/>
  </r>
  <r>
    <s v="1000503601"/>
    <s v="28704041802653"/>
    <n v="1"/>
    <s v="مينا عطيه شنوده سلامه "/>
    <s v="10005036"/>
    <s v="Bucket 4"/>
    <s v="Bucket 4"/>
    <x v="1"/>
    <s v="Qima"/>
    <n v="6195"/>
    <n v="8588.89"/>
    <n v="3148.89"/>
    <n v="680"/>
    <n v="0"/>
    <m/>
    <x v="3"/>
    <m/>
    <x v="0"/>
    <n v="54"/>
    <x v="0"/>
    <n v="31"/>
  </r>
  <r>
    <s v="1000280901"/>
    <s v="28509270103885"/>
    <n v="1"/>
    <s v="دينا حسن محمد مصطفي"/>
    <s v="10002809"/>
    <s v="Bucket 3"/>
    <s v="Bucket 1"/>
    <x v="1"/>
    <s v="Qima"/>
    <n v="6165"/>
    <n v="6512"/>
    <n v="4952"/>
    <n v="1560"/>
    <n v="1533"/>
    <d v="2025-10-26T00:00:00"/>
    <x v="1"/>
    <n v="732"/>
    <x v="0"/>
    <n v="54"/>
    <x v="0"/>
    <n v="31"/>
  </r>
  <r>
    <s v="1000604601"/>
    <s v="28512082103321"/>
    <n v="1"/>
    <s v="ياسمين محمد سعيد عطيه إبراهيم "/>
    <s v="10006046"/>
    <s v="Bucket 5"/>
    <s v="Bucket 4"/>
    <x v="1"/>
    <s v="Qima"/>
    <n v="6094"/>
    <n v="7537"/>
    <n v="6332"/>
    <n v="1205"/>
    <n v="1500"/>
    <d v="2025-10-20T00:00:00"/>
    <x v="2"/>
    <n v="772"/>
    <x v="0"/>
    <n v="54"/>
    <x v="0"/>
    <n v="31"/>
  </r>
  <r>
    <s v="1000224405"/>
    <s v="28103202103609"/>
    <n v="5"/>
    <s v="دعاء محمد علي عطيتو اسماعيل"/>
    <s v="10002244"/>
    <s v="Bucket 4"/>
    <s v="Bucket 4"/>
    <x v="1"/>
    <s v="Qima"/>
    <n v="6049"/>
    <n v="7557"/>
    <n v="7557"/>
    <n v="3035"/>
    <n v="0"/>
    <m/>
    <x v="4"/>
    <n v="763"/>
    <x v="0"/>
    <n v="54"/>
    <x v="0"/>
    <n v="31"/>
  </r>
  <r>
    <s v="1000678101"/>
    <s v="29708140202616"/>
    <n v="1"/>
    <s v="أحمد ابراهيم أحمد ابراهيم"/>
    <s v="10006781"/>
    <s v="Bucket 5"/>
    <s v="Bucket 5"/>
    <x v="1"/>
    <s v="Qima"/>
    <n v="5905"/>
    <n v="8210"/>
    <n v="2360"/>
    <n v="390"/>
    <n v="0"/>
    <m/>
    <x v="4"/>
    <n v="763"/>
    <x v="0"/>
    <n v="54"/>
    <x v="0"/>
    <n v="31"/>
  </r>
  <r>
    <s v="1000048201"/>
    <s v="27311071402417"/>
    <n v="2"/>
    <s v="وليد عبد الله جوده عبد المطلب"/>
    <s v="10000482"/>
    <s v="Bucket 4"/>
    <s v="Bucket 4"/>
    <x v="1"/>
    <s v="Qima"/>
    <n v="5890"/>
    <n v="8357"/>
    <n v="2867"/>
    <n v="610"/>
    <n v="0"/>
    <m/>
    <x v="3"/>
    <m/>
    <x v="0"/>
    <n v="54"/>
    <x v="0"/>
    <n v="31"/>
  </r>
  <r>
    <s v="1000129201"/>
    <s v="29701271500456"/>
    <n v="1"/>
    <s v="فوزى صبرى مصطفى محمد اللمونى "/>
    <s v="10001292"/>
    <s v="Bucket 5"/>
    <s v="Bucket 4"/>
    <x v="1"/>
    <s v="Qima"/>
    <n v="5885"/>
    <n v="8067"/>
    <n v="4807"/>
    <n v="815"/>
    <n v="1400"/>
    <d v="2025-10-28T00:00:00"/>
    <x v="3"/>
    <m/>
    <x v="0"/>
    <n v="54"/>
    <x v="0"/>
    <n v="31"/>
  </r>
  <r>
    <s v="1000692101"/>
    <s v="26808220200413"/>
    <n v="2"/>
    <s v="ايمن مسعد حنفى محمود "/>
    <s v="10006921"/>
    <s v="Bucket 3"/>
    <s v="Bucket 3"/>
    <x v="1"/>
    <s v="Qima"/>
    <n v="5885"/>
    <n v="7677"/>
    <n v="2787"/>
    <n v="815"/>
    <n v="0"/>
    <m/>
    <x v="1"/>
    <n v="732"/>
    <x v="0"/>
    <n v="54"/>
    <x v="0"/>
    <n v="31"/>
  </r>
  <r>
    <s v="1000001803"/>
    <s v="29010011601141"/>
    <n v="5"/>
    <s v="مني يسري محمد محمد صقر "/>
    <s v="10000018"/>
    <s v="Bucket 6"/>
    <s v="Bucket 6"/>
    <x v="1"/>
    <s v="Qima"/>
    <n v="5885"/>
    <n v="8532"/>
    <n v="6087"/>
    <n v="815"/>
    <n v="0"/>
    <m/>
    <x v="4"/>
    <n v="763"/>
    <x v="0"/>
    <n v="54"/>
    <x v="0"/>
    <n v="31"/>
  </r>
  <r>
    <s v="1000587101"/>
    <s v="28604140102936"/>
    <n v="2"/>
    <s v="محمد مجدى سيد أحمد محمد"/>
    <s v="10005871"/>
    <s v="Bucket 5"/>
    <s v="Bucket 5"/>
    <x v="1"/>
    <s v="Qima"/>
    <n v="5810"/>
    <n v="9367"/>
    <n v="2692"/>
    <n v="445"/>
    <n v="0"/>
    <m/>
    <x v="3"/>
    <m/>
    <x v="0"/>
    <n v="54"/>
    <x v="0"/>
    <n v="31"/>
  </r>
  <r>
    <s v="1000405303"/>
    <s v="28011290100353"/>
    <n v="5"/>
    <s v="شريف شفيق جمال الدين خطاب "/>
    <s v="10004053"/>
    <s v="Charged-off"/>
    <s v="Charged-off"/>
    <x v="0"/>
    <s v="Qima"/>
    <n v="5765"/>
    <n v="8265"/>
    <n v="8265"/>
    <n v="1940"/>
    <n v="0"/>
    <m/>
    <x v="1"/>
    <n v="732"/>
    <x v="0"/>
    <n v="54"/>
    <x v="0"/>
    <n v="31"/>
  </r>
  <r>
    <s v="1000253501"/>
    <s v="29209120300259"/>
    <n v="3"/>
    <s v="اسلام نصر قطب علي مرسي "/>
    <s v="10002535"/>
    <s v="Bucket 4"/>
    <s v="Bucket 4"/>
    <x v="1"/>
    <s v="Qima"/>
    <n v="5745"/>
    <n v="10476"/>
    <n v="1716"/>
    <n v="365"/>
    <n v="0"/>
    <m/>
    <x v="4"/>
    <n v="763"/>
    <x v="0"/>
    <n v="54"/>
    <x v="0"/>
    <n v="31"/>
  </r>
  <r>
    <s v="1000001805"/>
    <s v="29010011601141"/>
    <n v="5"/>
    <s v="مني يسري محمد محمد صقر "/>
    <s v="10000018"/>
    <s v="Charged-off"/>
    <s v="Charged-off"/>
    <x v="0"/>
    <s v="Qima"/>
    <n v="5605"/>
    <n v="9101"/>
    <n v="4301"/>
    <n v="480"/>
    <n v="0"/>
    <m/>
    <x v="4"/>
    <n v="763"/>
    <x v="0"/>
    <n v="54"/>
    <x v="0"/>
    <n v="31"/>
  </r>
  <r>
    <s v="1000251201"/>
    <s v="29012060100435"/>
    <n v="2"/>
    <s v="اسلام محمد عبدالعزيز عطيه "/>
    <s v="10002512"/>
    <s v="Bucket 6"/>
    <s v="Bucket 6"/>
    <x v="1"/>
    <s v="Qima"/>
    <n v="5286"/>
    <n v="7126"/>
    <n v="7126"/>
    <n v="1090"/>
    <n v="0"/>
    <m/>
    <x v="2"/>
    <n v="772"/>
    <x v="0"/>
    <n v="54"/>
    <x v="0"/>
    <n v="31"/>
  </r>
  <r>
    <s v="1000004201"/>
    <s v="28511042102555"/>
    <n v="1"/>
    <s v="شريف عبدالمنعم محمود محمد "/>
    <s v="10000042"/>
    <s v="Bucket 6"/>
    <s v="Bucket 3"/>
    <x v="1"/>
    <s v="Qima"/>
    <n v="5121"/>
    <n v="6932"/>
    <n v="5302"/>
    <n v="815"/>
    <n v="3000"/>
    <d v="2025-10-29T00:00:00"/>
    <x v="1"/>
    <n v="732"/>
    <x v="0"/>
    <n v="54"/>
    <x v="0"/>
    <n v="31"/>
  </r>
  <r>
    <s v="1000595101"/>
    <s v="27807130201949"/>
    <n v="1"/>
    <s v="هدى محمد محمد حسين عفيفى"/>
    <s v="10005951"/>
    <s v="Bucket 3"/>
    <s v="Current"/>
    <x v="1"/>
    <s v="Qima"/>
    <n v="5100"/>
    <n v="5796"/>
    <n v="4436"/>
    <n v="1360"/>
    <n v="4436"/>
    <d v="2025-10-16T00:00:00"/>
    <x v="2"/>
    <n v="772"/>
    <x v="0"/>
    <n v="54"/>
    <x v="0"/>
    <n v="31"/>
  </r>
  <r>
    <s v="1000771502"/>
    <s v="28705152400038"/>
    <n v="2"/>
    <s v="احمد سعد حسين سعد"/>
    <s v="10007715"/>
    <s v="Bucket 6"/>
    <s v="Bucket 6"/>
    <x v="1"/>
    <s v="Qima"/>
    <n v="5100"/>
    <n v="7390"/>
    <n v="7390"/>
    <n v="1405"/>
    <n v="0"/>
    <m/>
    <x v="4"/>
    <n v="763"/>
    <x v="0"/>
    <n v="54"/>
    <x v="0"/>
    <n v="31"/>
  </r>
  <r>
    <s v="1000633901"/>
    <s v="29610011826191"/>
    <n v="1"/>
    <s v="محمد اشرف محمد شبير"/>
    <s v="10006339"/>
    <s v="Bucket 4"/>
    <s v="Bucket 1"/>
    <x v="1"/>
    <s v="Qima"/>
    <n v="4997"/>
    <n v="6879"/>
    <n v="1489"/>
    <n v="385"/>
    <n v="1082"/>
    <d v="2025-10-21T00:00:00"/>
    <x v="4"/>
    <n v="763"/>
    <x v="0"/>
    <n v="54"/>
    <x v="0"/>
    <n v="31"/>
  </r>
  <r>
    <s v="1000193001"/>
    <s v="27510050300056"/>
    <n v="2"/>
    <s v="رامي احمد عبده بركات "/>
    <s v="10001930"/>
    <s v="Bucket 6"/>
    <s v="Bucket 6"/>
    <x v="1"/>
    <s v="Qima"/>
    <n v="4980"/>
    <n v="8079"/>
    <n v="3099"/>
    <n v="415"/>
    <n v="0"/>
    <m/>
    <x v="4"/>
    <n v="763"/>
    <x v="0"/>
    <n v="54"/>
    <x v="0"/>
    <n v="31"/>
  </r>
  <r>
    <s v="1000220401"/>
    <s v="27608071701191"/>
    <n v="1"/>
    <s v="اشرف محمد رفعت امام شعيب"/>
    <s v="10002204"/>
    <s v="Bucket 3"/>
    <s v="Bucket 3"/>
    <x v="1"/>
    <s v="Qima"/>
    <n v="4970"/>
    <n v="5712"/>
    <n v="5712"/>
    <n v="1670"/>
    <n v="0"/>
    <m/>
    <x v="3"/>
    <m/>
    <x v="0"/>
    <n v="54"/>
    <x v="0"/>
    <n v="31"/>
  </r>
  <r>
    <s v="1000643802"/>
    <s v="28406220201076"/>
    <n v="2"/>
    <s v="أحمد محمد محمد محمد "/>
    <s v="10006438"/>
    <s v="Charged-off"/>
    <s v="Charged-off"/>
    <x v="0"/>
    <s v="Qima"/>
    <n v="4895"/>
    <n v="6758"/>
    <n v="5063"/>
    <n v="565"/>
    <n v="0"/>
    <m/>
    <x v="4"/>
    <n v="763"/>
    <x v="0"/>
    <n v="54"/>
    <x v="0"/>
    <n v="31"/>
  </r>
  <r>
    <s v="1000253502"/>
    <s v="29209120300259"/>
    <n v="3"/>
    <s v="اسلام نصر قطب علي مرسي "/>
    <s v="10002535"/>
    <s v="Bucket 4"/>
    <s v="Bucket 4"/>
    <x v="1"/>
    <s v="Qima"/>
    <n v="4870"/>
    <n v="8897"/>
    <n v="1457"/>
    <n v="310"/>
    <n v="0"/>
    <m/>
    <x v="4"/>
    <n v="763"/>
    <x v="0"/>
    <n v="54"/>
    <x v="0"/>
    <n v="31"/>
  </r>
  <r>
    <s v="1000587102"/>
    <s v="28604140102936"/>
    <n v="2"/>
    <s v="محمد مجدى سيد أحمد محمد"/>
    <s v="10005871"/>
    <s v="Bucket 5"/>
    <s v="Bucket 5"/>
    <x v="1"/>
    <s v="Qima"/>
    <n v="4855"/>
    <n v="6380"/>
    <n v="5475"/>
    <n v="905"/>
    <n v="0"/>
    <m/>
    <x v="3"/>
    <m/>
    <x v="0"/>
    <n v="54"/>
    <x v="0"/>
    <n v="31"/>
  </r>
  <r>
    <s v="1000255605"/>
    <s v="28403230101241"/>
    <n v="5"/>
    <s v="سماح شوكت عبد الراضي محمود "/>
    <s v="10002556"/>
    <s v="Bucket 6"/>
    <s v="Bucket 6"/>
    <x v="1"/>
    <s v="Qima"/>
    <n v="4749"/>
    <n v="5540"/>
    <n v="4805"/>
    <n v="735"/>
    <n v="0"/>
    <m/>
    <x v="3"/>
    <m/>
    <x v="0"/>
    <n v="54"/>
    <x v="0"/>
    <n v="31"/>
  </r>
  <r>
    <s v="1000047702"/>
    <s v="27306150200877"/>
    <n v="2"/>
    <s v="محمد احمد محمد على"/>
    <s v="10000477"/>
    <s v="Charged-off"/>
    <s v="Charged-off"/>
    <x v="0"/>
    <s v="Qima"/>
    <n v="4650"/>
    <n v="6116"/>
    <n v="6116"/>
    <n v="775"/>
    <n v="0"/>
    <m/>
    <x v="4"/>
    <n v="763"/>
    <x v="0"/>
    <n v="54"/>
    <x v="0"/>
    <n v="31"/>
  </r>
  <r>
    <s v="1000276701"/>
    <s v="27412151600288"/>
    <n v="1"/>
    <s v="سهام فتحي حسن المظالي"/>
    <s v="10002767"/>
    <s v="Bucket 3"/>
    <s v="Bucket 3"/>
    <x v="1"/>
    <s v="Qima"/>
    <n v="4560"/>
    <n v="5022"/>
    <n v="5022"/>
    <n v="2200"/>
    <n v="0"/>
    <m/>
    <x v="1"/>
    <n v="732"/>
    <x v="0"/>
    <n v="54"/>
    <x v="0"/>
    <n v="31"/>
  </r>
  <r>
    <s v="1000268801"/>
    <s v="29109140200779"/>
    <n v="2"/>
    <s v="محمد السعيدانورمحمد زيتون"/>
    <s v="10002688"/>
    <s v="Bucket 2"/>
    <s v="Bucket 2"/>
    <x v="1"/>
    <s v="Qima"/>
    <n v="4495"/>
    <n v="5871"/>
    <n v="1271"/>
    <n v="575"/>
    <n v="0"/>
    <m/>
    <x v="3"/>
    <m/>
    <x v="0"/>
    <n v="54"/>
    <x v="0"/>
    <n v="31"/>
  </r>
  <r>
    <s v="1000115801"/>
    <s v="29711220104047"/>
    <n v="3"/>
    <s v="بسنت ايمن ابراهيم محمد "/>
    <s v="10001158"/>
    <s v="Bucket 3"/>
    <s v="Bucket 1"/>
    <x v="1"/>
    <s v="Qima"/>
    <n v="4450"/>
    <n v="6148"/>
    <n v="1693"/>
    <n v="495"/>
    <n v="1163"/>
    <d v="2025-10-14T00:00:00"/>
    <x v="3"/>
    <m/>
    <x v="0"/>
    <n v="54"/>
    <x v="0"/>
    <n v="31"/>
  </r>
  <r>
    <s v="1000219401"/>
    <s v="30201260100084"/>
    <n v="1"/>
    <s v="مريم ياسر حسن محمد حسن "/>
    <s v="10002194"/>
    <s v="Bucket 4"/>
    <s v="Bucket 3"/>
    <x v="1"/>
    <s v="Qima"/>
    <n v="4354"/>
    <n v="5359"/>
    <n v="5359"/>
    <n v="1505"/>
    <n v="500"/>
    <d v="2025-10-23T00:00:00"/>
    <x v="2"/>
    <n v="772"/>
    <x v="0"/>
    <n v="54"/>
    <x v="0"/>
    <n v="31"/>
  </r>
  <r>
    <s v="1000864901"/>
    <s v="28207010107082"/>
    <n v="2"/>
    <s v="هبة عطية ابو نايل محمد نايل "/>
    <s v="10008649"/>
    <s v="Bucket 5"/>
    <s v="Bucket 5"/>
    <x v="1"/>
    <s v="Qima"/>
    <n v="4325"/>
    <n v="6917"/>
    <n v="2087"/>
    <n v="345"/>
    <n v="0"/>
    <m/>
    <x v="4"/>
    <n v="763"/>
    <x v="0"/>
    <n v="54"/>
    <x v="0"/>
    <n v="31"/>
  </r>
  <r>
    <s v="1000255604"/>
    <s v="28403230101241"/>
    <n v="5"/>
    <s v="سماح شوكت عبد الراضي محمود "/>
    <s v="10002556"/>
    <s v="Bucket 6"/>
    <s v="Bucket 6"/>
    <x v="1"/>
    <s v="Qima"/>
    <n v="4250"/>
    <n v="5167"/>
    <n v="4557"/>
    <n v="610"/>
    <n v="0"/>
    <m/>
    <x v="3"/>
    <m/>
    <x v="0"/>
    <n v="54"/>
    <x v="0"/>
    <n v="31"/>
  </r>
  <r>
    <s v="1000589402"/>
    <s v="29901050200783"/>
    <n v="2"/>
    <s v="ايه علاء احمد مهدي بكر "/>
    <s v="10005894"/>
    <s v="Bucket 5"/>
    <s v="Bucket 4"/>
    <x v="1"/>
    <s v="Qima"/>
    <n v="4235"/>
    <n v="5414"/>
    <n v="4629"/>
    <n v="765"/>
    <n v="1033"/>
    <d v="2025-10-30T00:00:00"/>
    <x v="3"/>
    <m/>
    <x v="0"/>
    <n v="54"/>
    <x v="0"/>
    <n v="31"/>
  </r>
  <r>
    <s v="1000256501"/>
    <s v="29705291700104"/>
    <n v="1"/>
    <s v="دنيا طارق فرج الكرداس"/>
    <s v="10002565"/>
    <s v="Bucket 3"/>
    <s v="Current"/>
    <x v="1"/>
    <s v="Qima"/>
    <n v="4218"/>
    <n v="4652"/>
    <n v="4652"/>
    <n v="2040"/>
    <n v="4652"/>
    <d v="2025-10-28T00:00:00"/>
    <x v="4"/>
    <n v="763"/>
    <x v="0"/>
    <n v="54"/>
    <x v="0"/>
    <n v="31"/>
  </r>
  <r>
    <s v="1000391901"/>
    <s v="29907271602043"/>
    <n v="1"/>
    <s v="بسمه محمد رمضان شبل شحاته "/>
    <s v="10003919"/>
    <s v="Bucket 6"/>
    <s v="Bucket 6"/>
    <x v="1"/>
    <s v="Qima"/>
    <n v="4175"/>
    <n v="6419"/>
    <n v="3099"/>
    <n v="415"/>
    <n v="0"/>
    <m/>
    <x v="3"/>
    <m/>
    <x v="0"/>
    <n v="54"/>
    <x v="0"/>
    <n v="31"/>
  </r>
  <r>
    <s v="1000296901"/>
    <s v="28506251703279"/>
    <n v="1"/>
    <s v="عبدربه فؤاد عبدربه مصطفى "/>
    <s v="10002969"/>
    <s v="Bucket 4"/>
    <s v="Bucket 4"/>
    <x v="1"/>
    <s v="Qima"/>
    <n v="4170"/>
    <n v="5553"/>
    <n v="2343"/>
    <n v="535"/>
    <n v="0"/>
    <m/>
    <x v="1"/>
    <n v="732"/>
    <x v="0"/>
    <n v="54"/>
    <x v="0"/>
    <n v="31"/>
  </r>
  <r>
    <s v="1000864101"/>
    <s v="27803131400729"/>
    <n v="1"/>
    <s v="علا علي عبد الحفيظ حسن"/>
    <s v="10008641"/>
    <s v="Bucket 4"/>
    <s v="Bucket 4"/>
    <x v="1"/>
    <s v="Qima"/>
    <n v="4104"/>
    <n v="4969"/>
    <n v="3994"/>
    <n v="975"/>
    <n v="184"/>
    <d v="2025-10-07T00:00:00"/>
    <x v="2"/>
    <n v="772"/>
    <x v="0"/>
    <n v="54"/>
    <x v="0"/>
    <n v="31"/>
  </r>
  <r>
    <s v="1000001804"/>
    <s v="29010011601141"/>
    <n v="5"/>
    <s v="مني يسري محمد محمد صقر "/>
    <s v="10000018"/>
    <s v="Charged-off"/>
    <s v="Charged-off"/>
    <x v="0"/>
    <s v="Qima"/>
    <n v="4015"/>
    <n v="6541"/>
    <n v="3091"/>
    <n v="345"/>
    <n v="0"/>
    <m/>
    <x v="4"/>
    <n v="763"/>
    <x v="0"/>
    <n v="54"/>
    <x v="0"/>
    <n v="31"/>
  </r>
  <r>
    <s v="1000193002"/>
    <s v="27510050300056"/>
    <n v="2"/>
    <s v="رامي احمد عبده بركات "/>
    <s v="10001930"/>
    <s v="Bucket 6"/>
    <s v="Bucket 6"/>
    <x v="1"/>
    <s v="Qima"/>
    <n v="4015"/>
    <n v="6372"/>
    <n v="2577"/>
    <n v="345"/>
    <n v="0"/>
    <m/>
    <x v="4"/>
    <n v="763"/>
    <x v="0"/>
    <n v="54"/>
    <x v="0"/>
    <n v="31"/>
  </r>
  <r>
    <s v="1000608201"/>
    <s v="28501010122681"/>
    <n v="1"/>
    <s v="ايمان عادل عبدالعزيز احمد"/>
    <s v="10006082"/>
    <s v="Charged-off"/>
    <s v="Current"/>
    <x v="0"/>
    <s v="Qima"/>
    <n v="3819"/>
    <n v="5311"/>
    <n v="4701"/>
    <n v="610"/>
    <n v="4701"/>
    <d v="2025-10-27T00:00:00"/>
    <x v="4"/>
    <n v="763"/>
    <x v="0"/>
    <n v="54"/>
    <x v="0"/>
    <n v="31"/>
  </r>
  <r>
    <s v="1000726501"/>
    <s v="27108241301611"/>
    <n v="3"/>
    <s v="عماد عبده ابراهيم محمد "/>
    <s v="10007265"/>
    <s v="Charged-off"/>
    <s v="Charged-off"/>
    <x v="0"/>
    <s v="Qima"/>
    <n v="3810"/>
    <n v="5802"/>
    <n v="4347"/>
    <n v="485"/>
    <n v="0"/>
    <m/>
    <x v="3"/>
    <m/>
    <x v="0"/>
    <n v="54"/>
    <x v="0"/>
    <n v="31"/>
  </r>
  <r>
    <s v="1000032301"/>
    <s v="28204072102509"/>
    <n v="5"/>
    <s v="شيماء محمد علي محمد الصوابي "/>
    <s v="10000323"/>
    <s v="Charged-off"/>
    <s v="Charged-off"/>
    <x v="0"/>
    <s v="Qima"/>
    <n v="3705"/>
    <n v="5792"/>
    <n v="3717"/>
    <n v="415"/>
    <n v="0"/>
    <m/>
    <x v="2"/>
    <n v="772"/>
    <x v="0"/>
    <n v="54"/>
    <x v="0"/>
    <n v="31"/>
  </r>
  <r>
    <s v="1000029801"/>
    <s v="27906262601634"/>
    <n v="2"/>
    <s v="رجب خطاب فاضل محمد "/>
    <s v="10000298"/>
    <s v="Bucket 3"/>
    <s v="Current"/>
    <x v="1"/>
    <s v="Qima"/>
    <n v="3680"/>
    <n v="5216"/>
    <n v="1076"/>
    <n v="345"/>
    <n v="1076"/>
    <d v="2025-10-25T00:00:00"/>
    <x v="1"/>
    <n v="732"/>
    <x v="0"/>
    <n v="54"/>
    <x v="0"/>
    <n v="31"/>
  </r>
  <r>
    <s v="1000726503"/>
    <s v="27108241301611"/>
    <n v="3"/>
    <s v="عماد عبده ابراهيم محمد "/>
    <s v="10007265"/>
    <s v="Charged-off"/>
    <s v="Charged-off"/>
    <x v="0"/>
    <s v="Qima"/>
    <n v="3675"/>
    <n v="4705"/>
    <n v="4705"/>
    <n v="525"/>
    <n v="0"/>
    <m/>
    <x v="3"/>
    <m/>
    <x v="0"/>
    <n v="54"/>
    <x v="0"/>
    <n v="31"/>
  </r>
  <r>
    <s v="1000301402"/>
    <s v="27710261700076"/>
    <n v="2"/>
    <s v="ايمن احمد عزت حامد عميره"/>
    <s v="10003014"/>
    <s v="Charged-off"/>
    <s v="Charged-off"/>
    <x v="0"/>
    <s v="Qima"/>
    <n v="3560"/>
    <n v="4295"/>
    <n v="3795"/>
    <n v="500"/>
    <n v="0"/>
    <m/>
    <x v="4"/>
    <n v="763"/>
    <x v="0"/>
    <n v="54"/>
    <x v="0"/>
    <n v="31"/>
  </r>
  <r>
    <s v="1000407102"/>
    <s v="29411251300444"/>
    <n v="2"/>
    <s v="ندى طارق احمد فؤاد احمد "/>
    <s v="10004071"/>
    <s v="Bucket 4"/>
    <s v="Bucket 4"/>
    <x v="1"/>
    <s v="Qima"/>
    <n v="3450"/>
    <n v="5516"/>
    <n v="1316"/>
    <n v="280"/>
    <n v="0"/>
    <m/>
    <x v="4"/>
    <n v="763"/>
    <x v="0"/>
    <n v="54"/>
    <x v="0"/>
    <n v="31"/>
  </r>
  <r>
    <s v="1000657701"/>
    <s v="26604151600086"/>
    <n v="1"/>
    <s v="حنان ابراهيم محمد السيد"/>
    <s v="10006577"/>
    <s v="Bucket 5"/>
    <s v="Bucket 4"/>
    <x v="1"/>
    <s v="Qima"/>
    <n v="3450"/>
    <n v="4150"/>
    <n v="2650"/>
    <n v="500"/>
    <n v="500"/>
    <d v="2025-10-24T00:00:00"/>
    <x v="3"/>
    <m/>
    <x v="0"/>
    <n v="54"/>
    <x v="0"/>
    <n v="31"/>
  </r>
  <r>
    <s v="1000303602"/>
    <s v="29406190104015"/>
    <n v="3"/>
    <s v="مصطفى هشام كامل عطيه"/>
    <s v="10003036"/>
    <s v="Bucket 4"/>
    <s v="Bucket 4"/>
    <x v="1"/>
    <s v="Qima"/>
    <n v="3435"/>
    <n v="3962"/>
    <n v="3267"/>
    <n v="695"/>
    <n v="730"/>
    <d v="2025-10-07T00:00:00"/>
    <x v="2"/>
    <n v="772"/>
    <x v="0"/>
    <n v="54"/>
    <x v="0"/>
    <n v="31"/>
  </r>
  <r>
    <s v="1000877503"/>
    <s v="28707300300202"/>
    <n v="2"/>
    <s v="رانا محمد محمد محمد يوسف"/>
    <s v="10008775"/>
    <s v="Bucket 5"/>
    <s v="Bucket 5"/>
    <x v="1"/>
    <s v="Qima"/>
    <n v="3369"/>
    <n v="4813"/>
    <n v="4813"/>
    <n v="3565"/>
    <n v="0"/>
    <m/>
    <x v="3"/>
    <m/>
    <x v="0"/>
    <n v="54"/>
    <x v="0"/>
    <n v="31"/>
  </r>
  <r>
    <s v="1000814101"/>
    <s v="26811130200253"/>
    <n v="2"/>
    <s v="طارق عجمى محمد حسن "/>
    <s v="10008141"/>
    <s v="Bucket 3"/>
    <s v="Bucket 3"/>
    <x v="1"/>
    <s v="Qima"/>
    <n v="3310"/>
    <n v="3937"/>
    <n v="3937"/>
    <n v="1675"/>
    <n v="0"/>
    <m/>
    <x v="3"/>
    <m/>
    <x v="0"/>
    <n v="54"/>
    <x v="0"/>
    <n v="31"/>
  </r>
  <r>
    <s v="1000661402"/>
    <s v="27410110102131"/>
    <n v="2"/>
    <s v="اسماعيل محمد اسماعيل فارس"/>
    <s v="10006614"/>
    <s v="Bucket 3"/>
    <s v="Bucket 1"/>
    <x v="1"/>
    <s v="Qima"/>
    <n v="3195"/>
    <n v="3820"/>
    <n v="2035"/>
    <n v="595"/>
    <n v="1421"/>
    <d v="2025-10-29T00:00:00"/>
    <x v="4"/>
    <n v="763"/>
    <x v="0"/>
    <n v="54"/>
    <x v="0"/>
    <n v="31"/>
  </r>
  <r>
    <s v="1000619801"/>
    <s v="28012010203451"/>
    <n v="1"/>
    <s v="محمود عبد الفتاح عبد الحميد حسن"/>
    <s v="10006198"/>
    <s v="Bucket 5"/>
    <s v="Bucket 5"/>
    <x v="1"/>
    <s v="Qima"/>
    <n v="3095"/>
    <n v="3889"/>
    <n v="3324"/>
    <n v="565"/>
    <n v="0"/>
    <m/>
    <x v="1"/>
    <n v="732"/>
    <x v="0"/>
    <n v="54"/>
    <x v="0"/>
    <n v="31"/>
  </r>
  <r>
    <s v="1000589401"/>
    <s v="29901050200783"/>
    <n v="2"/>
    <s v="ايه علاء احمد مهدي بكر "/>
    <s v="10005894"/>
    <s v="Bucket 5"/>
    <s v="Bucket 4"/>
    <x v="1"/>
    <s v="Qima"/>
    <n v="3055"/>
    <n v="4229"/>
    <n v="2039"/>
    <n v="365"/>
    <n v="467"/>
    <d v="2025-10-30T00:00:00"/>
    <x v="3"/>
    <m/>
    <x v="0"/>
    <n v="54"/>
    <x v="0"/>
    <n v="31"/>
  </r>
  <r>
    <s v="1000814102"/>
    <s v="26811130200253"/>
    <n v="2"/>
    <s v="طارق عجمى محمد حسن "/>
    <s v="10008141"/>
    <s v="Bucket 3"/>
    <s v="Bucket 3"/>
    <x v="1"/>
    <s v="Qima"/>
    <n v="2820"/>
    <n v="3160"/>
    <n v="2445"/>
    <n v="715"/>
    <n v="0"/>
    <m/>
    <x v="3"/>
    <m/>
    <x v="0"/>
    <n v="54"/>
    <x v="0"/>
    <n v="31"/>
  </r>
  <r>
    <s v="1000182101"/>
    <s v="27708112401622"/>
    <n v="1"/>
    <s v="رباب ماهر محمد ابراهيم "/>
    <s v="10001821"/>
    <s v="Bucket 3"/>
    <s v="Current"/>
    <x v="1"/>
    <s v="Qima"/>
    <n v="2707"/>
    <n v="2986"/>
    <n v="2986"/>
    <n v="1325"/>
    <n v="2986"/>
    <d v="2025-10-30T00:00:00"/>
    <x v="2"/>
    <n v="772"/>
    <x v="0"/>
    <n v="54"/>
    <x v="0"/>
    <n v="31"/>
  </r>
  <r>
    <s v="1000171001"/>
    <s v="28811152103615"/>
    <n v="3"/>
    <s v="فرج مختار سعد الدين عرابي"/>
    <s v="10001710"/>
    <s v="Bucket 3"/>
    <s v="Bucket 2"/>
    <x v="1"/>
    <s v="Qima"/>
    <n v="2661"/>
    <n v="3543"/>
    <n v="1163"/>
    <n v="340"/>
    <n v="411"/>
    <d v="2025-10-30T00:00:00"/>
    <x v="1"/>
    <n v="732"/>
    <x v="0"/>
    <n v="54"/>
    <x v="0"/>
    <n v="31"/>
  </r>
  <r>
    <s v="1000269103"/>
    <s v="30106090103064"/>
    <n v="3"/>
    <s v="فرحه اشرف فوزي عبدالعاطي "/>
    <s v="10002691"/>
    <s v="Bucket 4"/>
    <s v="Bucket 4"/>
    <x v="1"/>
    <s v="Qima"/>
    <n v="2642"/>
    <n v="3006"/>
    <n v="3006"/>
    <n v="770"/>
    <n v="0"/>
    <m/>
    <x v="4"/>
    <n v="763"/>
    <x v="0"/>
    <n v="54"/>
    <x v="0"/>
    <n v="31"/>
  </r>
  <r>
    <s v="1000707701"/>
    <s v="29810011905804"/>
    <n v="1"/>
    <s v="نور احمد محمد عبدالله "/>
    <s v="10007077"/>
    <s v="Bucket 6"/>
    <s v="Bucket 6"/>
    <x v="1"/>
    <s v="Qima"/>
    <n v="2550"/>
    <n v="3556"/>
    <n v="2316"/>
    <n v="310"/>
    <n v="0"/>
    <m/>
    <x v="4"/>
    <n v="763"/>
    <x v="0"/>
    <n v="54"/>
    <x v="0"/>
    <n v="31"/>
  </r>
  <r>
    <s v="1000278402"/>
    <s v="28405071701897"/>
    <n v="2"/>
    <s v="ايمن مصطفى محمود ابوزيد"/>
    <s v="10002784"/>
    <s v="Charged-off"/>
    <s v="Charged-off"/>
    <x v="0"/>
    <s v="Qima"/>
    <n v="2350"/>
    <n v="4173"/>
    <n v="1703"/>
    <n v="190"/>
    <n v="0"/>
    <m/>
    <x v="4"/>
    <n v="763"/>
    <x v="0"/>
    <n v="54"/>
    <x v="0"/>
    <n v="31"/>
  </r>
  <r>
    <s v="1000047801"/>
    <s v="28303100101201"/>
    <n v="2"/>
    <s v="اميره حافظ محمد موسى"/>
    <s v="10000478"/>
    <s v="Bucket 3"/>
    <s v="Bucket 3"/>
    <x v="1"/>
    <s v="Qima"/>
    <n v="2345"/>
    <n v="2999"/>
    <n v="989"/>
    <n v="335"/>
    <n v="0"/>
    <m/>
    <x v="1"/>
    <n v="732"/>
    <x v="0"/>
    <n v="54"/>
    <x v="0"/>
    <n v="31"/>
  </r>
  <r>
    <s v="1000643801"/>
    <s v="28406220201076"/>
    <n v="2"/>
    <s v="أحمد محمد محمد محمد "/>
    <s v="10006438"/>
    <s v="Charged-off"/>
    <s v="Charged-off"/>
    <x v="0"/>
    <s v="Qima"/>
    <n v="2302"/>
    <n v="3869"/>
    <n v="1529"/>
    <n v="195"/>
    <n v="0"/>
    <m/>
    <x v="4"/>
    <n v="763"/>
    <x v="0"/>
    <n v="54"/>
    <x v="0"/>
    <n v="31"/>
  </r>
  <r>
    <s v="1000303603"/>
    <s v="29406190104015"/>
    <n v="3"/>
    <s v="مصطفى هشام كامل عطيه"/>
    <s v="10003036"/>
    <s v="Bucket 4"/>
    <s v="Bucket 3"/>
    <x v="1"/>
    <s v="Qima"/>
    <n v="2250"/>
    <n v="2566"/>
    <n v="2116"/>
    <n v="450"/>
    <n v="576"/>
    <d v="2025-10-07T00:00:00"/>
    <x v="2"/>
    <n v="772"/>
    <x v="0"/>
    <n v="54"/>
    <x v="0"/>
    <n v="31"/>
  </r>
  <r>
    <s v="1000119003"/>
    <s v="27812290104153"/>
    <n v="3"/>
    <s v="احمد اسماعيل عبدالعزيز فتح الباب"/>
    <s v="10001190"/>
    <s v="Bucket 3"/>
    <s v="Bucket 1"/>
    <x v="1"/>
    <s v="Qima"/>
    <n v="2229"/>
    <n v="2372"/>
    <n v="1787"/>
    <n v="585"/>
    <n v="1161"/>
    <d v="2025-10-11T00:00:00"/>
    <x v="2"/>
    <n v="772"/>
    <x v="0"/>
    <n v="54"/>
    <x v="0"/>
    <n v="31"/>
  </r>
  <r>
    <s v="1000645401"/>
    <s v="28911250100467"/>
    <n v="2"/>
    <s v="سارة سمير محمد السيد"/>
    <s v="10006454"/>
    <s v="Bucket 6"/>
    <s v="Bucket 6"/>
    <x v="1"/>
    <s v="Qima"/>
    <n v="2215"/>
    <n v="3283"/>
    <n v="3283"/>
    <n v="1185"/>
    <n v="0"/>
    <m/>
    <x v="4"/>
    <n v="763"/>
    <x v="0"/>
    <n v="54"/>
    <x v="0"/>
    <n v="31"/>
  </r>
  <r>
    <s v="1000867902"/>
    <s v="28012210101075"/>
    <n v="2"/>
    <s v="هاني فتحي سعيد احمد عبدالوهاب "/>
    <s v="10008679"/>
    <s v="Bucket 5"/>
    <s v="Bucket 5"/>
    <x v="1"/>
    <s v="Qima"/>
    <n v="2197"/>
    <n v="3140"/>
    <n v="2360"/>
    <n v="390"/>
    <n v="0"/>
    <m/>
    <x v="2"/>
    <n v="772"/>
    <x v="0"/>
    <n v="54"/>
    <x v="0"/>
    <n v="31"/>
  </r>
  <r>
    <s v="1000683602"/>
    <s v="28405051203629"/>
    <n v="6"/>
    <s v="هنيه محمد احمد محمد خليل"/>
    <s v="10006836"/>
    <s v="Bucket 4"/>
    <s v="Bucket 4"/>
    <x v="1"/>
    <s v="Qima"/>
    <n v="2150"/>
    <n v="2848"/>
    <n v="1998"/>
    <n v="425"/>
    <n v="0"/>
    <m/>
    <x v="2"/>
    <n v="772"/>
    <x v="0"/>
    <n v="54"/>
    <x v="0"/>
    <n v="31"/>
  </r>
  <r>
    <s v="1000586901"/>
    <s v="27710140100501"/>
    <n v="2"/>
    <s v="بثينه ادفاوى دياب عثمان"/>
    <s v="10005869"/>
    <s v="Bucket 2"/>
    <s v="Bucket 1"/>
    <x v="1"/>
    <s v="Qima"/>
    <n v="2055"/>
    <n v="3055"/>
    <n v="475"/>
    <n v="215"/>
    <n v="0"/>
    <m/>
    <x v="4"/>
    <n v="763"/>
    <x v="0"/>
    <n v="54"/>
    <x v="0"/>
    <n v="31"/>
  </r>
  <r>
    <s v="1000085902"/>
    <s v="29008051501811"/>
    <n v="4"/>
    <s v="احمد ابراهيم محمد علي شحاتة عيسى"/>
    <s v="10000859"/>
    <s v="Bucket 4"/>
    <s v="Current"/>
    <x v="1"/>
    <s v="Qima"/>
    <n v="2005"/>
    <n v="2714"/>
    <n v="2714"/>
    <n v="1090"/>
    <n v="2714"/>
    <d v="2025-10-31T00:00:00"/>
    <x v="1"/>
    <n v="732"/>
    <x v="0"/>
    <n v="54"/>
    <x v="0"/>
    <n v="31"/>
  </r>
  <r>
    <s v="1000085903"/>
    <s v="29008051501811"/>
    <n v="4"/>
    <s v="احمد ابراهيم محمد علي شحاتة عيسى"/>
    <s v="10000859"/>
    <s v="Bucket 4"/>
    <s v="Current"/>
    <x v="1"/>
    <s v="Qima"/>
    <n v="2005"/>
    <n v="2714"/>
    <n v="2714"/>
    <n v="1090"/>
    <n v="2714"/>
    <d v="2025-10-31T00:00:00"/>
    <x v="1"/>
    <n v="732"/>
    <x v="0"/>
    <n v="54"/>
    <x v="0"/>
    <n v="31"/>
  </r>
  <r>
    <s v="1000085901"/>
    <s v="29008051501811"/>
    <n v="4"/>
    <s v="احمد ابراهيم محمد علي شحاتة عيسى"/>
    <s v="10000859"/>
    <s v="Bucket 4"/>
    <s v="Current"/>
    <x v="1"/>
    <s v="Qima"/>
    <n v="2005"/>
    <n v="2714"/>
    <n v="2714"/>
    <n v="1090"/>
    <n v="2714"/>
    <d v="2025-10-31T00:00:00"/>
    <x v="1"/>
    <n v="732"/>
    <x v="0"/>
    <n v="54"/>
    <x v="0"/>
    <n v="31"/>
  </r>
  <r>
    <s v="1000218301"/>
    <s v="27710011900941"/>
    <n v="1"/>
    <s v="شاهيناز شحاته حسن مصطفي نجم الدين "/>
    <s v="10002183"/>
    <s v="Bucket 4"/>
    <s v="Current"/>
    <x v="1"/>
    <s v="Qima"/>
    <n v="1975"/>
    <n v="2468"/>
    <n v="1448"/>
    <n v="340"/>
    <n v="1448"/>
    <d v="2025-10-29T00:00:00"/>
    <x v="3"/>
    <m/>
    <x v="0"/>
    <n v="54"/>
    <x v="0"/>
    <n v="31"/>
  </r>
  <r>
    <s v="1000269102"/>
    <s v="30106090103064"/>
    <n v="3"/>
    <s v="فرحه اشرف فوزي عبدالعاطي "/>
    <s v="10002691"/>
    <s v="Bucket 4"/>
    <s v="Bucket 4"/>
    <x v="1"/>
    <s v="Qima"/>
    <n v="1900"/>
    <n v="2233"/>
    <n v="2233"/>
    <n v="475"/>
    <n v="0"/>
    <m/>
    <x v="4"/>
    <n v="763"/>
    <x v="0"/>
    <n v="54"/>
    <x v="0"/>
    <n v="31"/>
  </r>
  <r>
    <s v="1000014101"/>
    <s v="28603190103163"/>
    <n v="6"/>
    <s v="ماهينور عمر ابراهيم حسني "/>
    <s v="10000141"/>
    <s v="Bucket 3"/>
    <s v="Bucket 1"/>
    <x v="1"/>
    <s v="Qima"/>
    <n v="1885"/>
    <n v="2185"/>
    <n v="1245"/>
    <n v="470"/>
    <n v="742"/>
    <d v="2025-10-11T00:00:00"/>
    <x v="1"/>
    <n v="732"/>
    <x v="0"/>
    <n v="54"/>
    <x v="0"/>
    <n v="31"/>
  </r>
  <r>
    <s v="1000683605"/>
    <s v="28405051203629"/>
    <n v="6"/>
    <s v="هنيه محمد احمد محمد خليل"/>
    <s v="10006836"/>
    <s v="Bucket 5"/>
    <s v="Bucket 5"/>
    <x v="1"/>
    <s v="Qima"/>
    <n v="1820"/>
    <n v="2765"/>
    <n v="1260"/>
    <n v="215"/>
    <n v="0"/>
    <m/>
    <x v="2"/>
    <n v="772"/>
    <x v="0"/>
    <n v="54"/>
    <x v="0"/>
    <n v="31"/>
  </r>
  <r>
    <s v="1000739601"/>
    <s v="29911062102634"/>
    <n v="1"/>
    <s v="حسين رأفت حسين سيد "/>
    <s v="10007396"/>
    <s v="Bucket 4"/>
    <s v="Current"/>
    <x v="1"/>
    <s v="Qima"/>
    <n v="1775"/>
    <n v="2248"/>
    <n v="2248"/>
    <n v="940"/>
    <n v="2248"/>
    <d v="2025-10-26T00:00:00"/>
    <x v="1"/>
    <n v="732"/>
    <x v="0"/>
    <n v="54"/>
    <x v="0"/>
    <n v="31"/>
  </r>
  <r>
    <s v="1000016701"/>
    <s v="27401011100569"/>
    <n v="2"/>
    <s v="جيهان عيسي السيد الفيومي"/>
    <s v="10000167"/>
    <s v="Bucket 4"/>
    <s v="Bucket 4"/>
    <x v="1"/>
    <s v="Qima"/>
    <n v="1718"/>
    <n v="2247"/>
    <n v="947"/>
    <n v="260"/>
    <n v="0"/>
    <m/>
    <x v="2"/>
    <n v="772"/>
    <x v="0"/>
    <n v="54"/>
    <x v="0"/>
    <n v="31"/>
  </r>
  <r>
    <s v="1000683603"/>
    <s v="28405051203629"/>
    <n v="6"/>
    <s v="هنيه محمد احمد محمد خليل"/>
    <s v="10006836"/>
    <s v="Bucket 5"/>
    <s v="Bucket 5"/>
    <x v="1"/>
    <s v="Qima"/>
    <n v="1685"/>
    <n v="2431"/>
    <n v="1331"/>
    <n v="220"/>
    <n v="0"/>
    <m/>
    <x v="2"/>
    <n v="772"/>
    <x v="0"/>
    <n v="54"/>
    <x v="0"/>
    <n v="31"/>
  </r>
  <r>
    <s v="1000821201"/>
    <s v="26707012603112"/>
    <n v="2"/>
    <s v="عمرو سعيد محمد عبدالمنعم "/>
    <s v="10008212"/>
    <s v="Charged-off"/>
    <s v="Charged-off"/>
    <x v="0"/>
    <s v="Qima"/>
    <n v="1590"/>
    <n v="2547"/>
    <n v="2547"/>
    <n v="875"/>
    <n v="0"/>
    <m/>
    <x v="4"/>
    <n v="763"/>
    <x v="0"/>
    <n v="54"/>
    <x v="0"/>
    <n v="31"/>
  </r>
  <r>
    <s v="1000115803"/>
    <s v="29711220104047"/>
    <n v="3"/>
    <s v="بسنت ايمن ابراهيم محمد "/>
    <s v="10001158"/>
    <s v="Bucket 3"/>
    <s v="Current"/>
    <x v="1"/>
    <s v="Qima"/>
    <n v="1565"/>
    <n v="1966"/>
    <n v="1966"/>
    <n v="1625"/>
    <n v="1966"/>
    <d v="2025-10-14T00:00:00"/>
    <x v="3"/>
    <m/>
    <x v="0"/>
    <n v="54"/>
    <x v="0"/>
    <n v="31"/>
  </r>
  <r>
    <s v="1000040901"/>
    <s v="29604060101215"/>
    <n v="1"/>
    <s v="عبدالله جمال نجار عبدالرحيم "/>
    <s v="10000409"/>
    <s v="Bucket 3"/>
    <s v="Current"/>
    <x v="1"/>
    <s v="Qima"/>
    <n v="1425"/>
    <n v="1809"/>
    <n v="1809"/>
    <n v="1495"/>
    <n v="1809"/>
    <d v="2025-10-11T00:00:00"/>
    <x v="2"/>
    <n v="772"/>
    <x v="0"/>
    <n v="54"/>
    <x v="0"/>
    <n v="31"/>
  </r>
  <r>
    <s v="1000793101"/>
    <s v="27406060103362"/>
    <n v="2"/>
    <s v="منى محمد محمد حسين "/>
    <s v="10007931"/>
    <s v="Bucket 3"/>
    <s v="Current"/>
    <x v="1"/>
    <s v="Qima"/>
    <n v="1380"/>
    <n v="1762"/>
    <n v="1112"/>
    <n v="325"/>
    <n v="1112"/>
    <d v="2025-10-09T00:00:00"/>
    <x v="2"/>
    <n v="772"/>
    <x v="0"/>
    <n v="54"/>
    <x v="0"/>
    <n v="31"/>
  </r>
  <r>
    <s v="1000581801"/>
    <s v="29310010202238"/>
    <n v="1"/>
    <s v="محمد إبراهيم إبراهيم شحاته"/>
    <s v="10005818"/>
    <s v="Bucket 5"/>
    <s v="Bucket 5"/>
    <x v="1"/>
    <s v="Qima"/>
    <n v="1360"/>
    <n v="1904"/>
    <n v="1904"/>
    <n v="1410"/>
    <n v="0"/>
    <m/>
    <x v="4"/>
    <n v="763"/>
    <x v="0"/>
    <n v="54"/>
    <x v="0"/>
    <n v="31"/>
  </r>
  <r>
    <s v="1000645402"/>
    <s v="28911250100467"/>
    <n v="2"/>
    <s v="سارة سمير محمد السيد"/>
    <s v="10006454"/>
    <s v="Bucket 6"/>
    <s v="Bucket 6"/>
    <x v="1"/>
    <s v="Qima"/>
    <n v="1261"/>
    <n v="1735"/>
    <n v="1735"/>
    <n v="1040"/>
    <n v="0"/>
    <m/>
    <x v="4"/>
    <n v="763"/>
    <x v="0"/>
    <n v="54"/>
    <x v="0"/>
    <n v="31"/>
  </r>
  <r>
    <s v="1000683601"/>
    <s v="28405051203629"/>
    <n v="6"/>
    <s v="هنيه محمد احمد محمد خليل"/>
    <s v="10006836"/>
    <s v="Bucket 5"/>
    <s v="Bucket 5"/>
    <x v="1"/>
    <s v="Qima"/>
    <n v="1245"/>
    <n v="1798"/>
    <n v="1543"/>
    <n v="255"/>
    <n v="0"/>
    <m/>
    <x v="2"/>
    <n v="772"/>
    <x v="0"/>
    <n v="54"/>
    <x v="0"/>
    <n v="31"/>
  </r>
  <r>
    <s v="1000661401"/>
    <s v="27410110102131"/>
    <n v="2"/>
    <s v="اسماعيل محمد اسماعيل فارس"/>
    <s v="10006614"/>
    <s v="Bucket 3"/>
    <s v="Current"/>
    <x v="1"/>
    <s v="Qima"/>
    <n v="1200"/>
    <n v="1359"/>
    <n v="579"/>
    <n v="195"/>
    <n v="579"/>
    <d v="2025-10-29T00:00:00"/>
    <x v="4"/>
    <n v="763"/>
    <x v="0"/>
    <n v="54"/>
    <x v="0"/>
    <n v="31"/>
  </r>
  <r>
    <s v="1000171003"/>
    <s v="28811152103615"/>
    <n v="3"/>
    <s v="فرج مختار سعد الدين عرابي"/>
    <s v="10001710"/>
    <s v="Bucket 4"/>
    <s v="Bucket 2"/>
    <x v="1"/>
    <s v="Qima"/>
    <n v="1190"/>
    <n v="1561"/>
    <n v="1561"/>
    <n v="660"/>
    <n v="896"/>
    <d v="2025-10-30T00:00:00"/>
    <x v="1"/>
    <n v="732"/>
    <x v="0"/>
    <n v="54"/>
    <x v="0"/>
    <n v="31"/>
  </r>
  <r>
    <s v="1000085904"/>
    <s v="29008051501811"/>
    <n v="4"/>
    <s v="احمد ابراهيم محمد علي شحاتة عيسى"/>
    <s v="10000859"/>
    <s v="Bucket 4"/>
    <s v="Current"/>
    <x v="1"/>
    <s v="Qima"/>
    <n v="1169"/>
    <n v="1478"/>
    <n v="1478"/>
    <n v="1090"/>
    <n v="1478"/>
    <d v="2025-10-31T00:00:00"/>
    <x v="1"/>
    <n v="732"/>
    <x v="0"/>
    <n v="54"/>
    <x v="0"/>
    <n v="31"/>
  </r>
  <r>
    <s v="1000073601"/>
    <s v="28603140400132"/>
    <n v="2"/>
    <s v="محمد جلال الحفناوي مصطفي "/>
    <s v="10000736"/>
    <s v="Bucket 3"/>
    <s v="Bucket 2"/>
    <x v="1"/>
    <s v="Qima"/>
    <n v="1095"/>
    <n v="1409"/>
    <n v="889"/>
    <n v="260"/>
    <n v="315"/>
    <d v="2025-10-21T00:00:00"/>
    <x v="2"/>
    <n v="772"/>
    <x v="0"/>
    <n v="54"/>
    <x v="0"/>
    <n v="31"/>
  </r>
  <r>
    <s v="1000734402"/>
    <s v="26804181701218"/>
    <n v="2"/>
    <s v="ايمن هنداوي عبدالعزيز هنداوي "/>
    <s v="10007344"/>
    <s v="Bucket 3"/>
    <s v="Bucket 2"/>
    <x v="1"/>
    <s v="Qima"/>
    <n v="1005"/>
    <n v="1234"/>
    <n v="1234"/>
    <n v="525"/>
    <n v="647"/>
    <d v="2025-10-17T00:00:00"/>
    <x v="2"/>
    <n v="772"/>
    <x v="0"/>
    <n v="54"/>
    <x v="0"/>
    <n v="31"/>
  </r>
  <r>
    <s v="1000872702"/>
    <s v="28001080104539"/>
    <n v="2"/>
    <s v="تامر اسامه على كمال عبدالحفيظ "/>
    <s v="10008727"/>
    <s v="Bucket 5"/>
    <s v="Current"/>
    <x v="1"/>
    <s v="Qima"/>
    <n v="990"/>
    <n v="1325"/>
    <n v="1325"/>
    <n v="345"/>
    <n v="1325"/>
    <d v="2025-10-09T00:00:00"/>
    <x v="1"/>
    <n v="732"/>
    <x v="0"/>
    <n v="54"/>
    <x v="0"/>
    <n v="31"/>
  </r>
  <r>
    <s v="1000506101"/>
    <s v="29609270100451"/>
    <n v="1"/>
    <s v="سعيد منصور سعيد يونس"/>
    <s v="10005061"/>
    <s v="Bucket 5"/>
    <s v="Bucket 5"/>
    <x v="1"/>
    <s v="Qima"/>
    <n v="935"/>
    <n v="1262"/>
    <n v="1262"/>
    <n v="1090"/>
    <n v="0"/>
    <m/>
    <x v="3"/>
    <m/>
    <x v="0"/>
    <n v="54"/>
    <x v="0"/>
    <n v="31"/>
  </r>
  <r>
    <s v="1000530102"/>
    <s v="29609011204051"/>
    <n v="2"/>
    <s v="احمد السيد الحمادي السيد سالم"/>
    <s v="10005301"/>
    <s v="Bucket 5"/>
    <s v="Bucket 5"/>
    <x v="1"/>
    <s v="Qima"/>
    <n v="694"/>
    <n v="1005"/>
    <n v="605"/>
    <n v="100"/>
    <n v="0"/>
    <m/>
    <x v="4"/>
    <n v="763"/>
    <x v="0"/>
    <n v="54"/>
    <x v="0"/>
    <n v="31"/>
  </r>
  <r>
    <s v="1000269101"/>
    <s v="30106090103064"/>
    <n v="3"/>
    <s v="فرحه اشرف فوزي عبدالعاطي "/>
    <s v="10002691"/>
    <s v="Bucket 4"/>
    <s v="Bucket 4"/>
    <x v="1"/>
    <s v="Qima"/>
    <n v="619"/>
    <n v="770"/>
    <n v="470"/>
    <n v="100"/>
    <n v="0"/>
    <m/>
    <x v="4"/>
    <n v="763"/>
    <x v="0"/>
    <n v="54"/>
    <x v="0"/>
    <n v="31"/>
  </r>
  <r>
    <s v="1000683604"/>
    <s v="28405051203629"/>
    <n v="6"/>
    <s v="هنيه محمد احمد محمد خليل"/>
    <s v="10006836"/>
    <s v="Bucket 4"/>
    <s v="Bucket 4"/>
    <x v="1"/>
    <s v="Qima"/>
    <n v="385"/>
    <n v="525"/>
    <n v="525"/>
    <n v="410"/>
    <n v="0"/>
    <m/>
    <x v="2"/>
    <n v="772"/>
    <x v="0"/>
    <n v="54"/>
    <x v="0"/>
    <n v="31"/>
  </r>
  <r>
    <s v="1000014102"/>
    <s v="28603190103163"/>
    <n v="6"/>
    <s v="ماهينور عمر ابراهيم حسني "/>
    <s v="10000141"/>
    <s v="Bucket 3"/>
    <s v="Current"/>
    <x v="1"/>
    <s v="Qima"/>
    <n v="275"/>
    <n v="412"/>
    <n v="412"/>
    <n v="175"/>
    <n v="412"/>
    <d v="2025-10-11T00:00:00"/>
    <x v="1"/>
    <n v="732"/>
    <x v="0"/>
    <n v="54"/>
    <x v="0"/>
    <n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F6A517-5634-48A6-AEAA-EF16135F715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16" firstHeaderRow="1" firstDataRow="1" firstDataCol="4"/>
  <pivotFields count="2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outline="0" showAll="0"/>
    <pivotField axis="axisRow" compact="0" outline="0" showAll="0">
      <items count="6">
        <item x="4"/>
        <item h="1" x="0"/>
        <item x="3"/>
        <item x="2"/>
        <item x="1"/>
        <item t="default"/>
      </items>
    </pivotField>
    <pivotField compact="0" outline="0" showAll="0"/>
    <pivotField axis="axisRow" compact="0" outline="0" showAll="0">
      <items count="2">
        <item x="0"/>
        <item t="default"/>
      </items>
    </pivotField>
    <pivotField compact="0" numFmtId="1" outline="0" showAll="0"/>
    <pivotField axis="axisRow" compact="0" outline="0" showAll="0">
      <items count="2">
        <item x="0"/>
        <item t="default"/>
      </items>
    </pivotField>
    <pivotField compact="0" numFmtId="1" outline="0" showAll="0"/>
  </pivotFields>
  <rowFields count="4">
    <field x="19"/>
    <field x="17"/>
    <field x="7"/>
    <field x="15"/>
  </rowFields>
  <rowItems count="13">
    <i>
      <x/>
      <x/>
      <x/>
      <x/>
    </i>
    <i r="3">
      <x v="2"/>
    </i>
    <i r="3">
      <x v="3"/>
    </i>
    <i r="3">
      <x v="4"/>
    </i>
    <i t="default" r="2">
      <x/>
    </i>
    <i r="2">
      <x v="1"/>
      <x/>
    </i>
    <i r="3">
      <x v="2"/>
    </i>
    <i r="3">
      <x v="3"/>
    </i>
    <i r="3">
      <x v="4"/>
    </i>
    <i t="default" r="2">
      <x v="1"/>
    </i>
    <i t="default" r="1">
      <x/>
    </i>
    <i t="default">
      <x/>
    </i>
    <i t="grand">
      <x/>
    </i>
  </rowItems>
  <colItems count="1">
    <i/>
  </colItems>
  <dataFields count="1">
    <dataField name="Sum of Agency Payment" fld="13" baseField="0" baseItem="0" numFmtId="164"/>
  </dataFields>
  <pivotTableStyleInfo name="PivotStyleMedium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C370B-DE05-4A34-B0C8-6AA1E961B46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16" firstHeaderRow="1" firstDataRow="1" firstDataCol="4"/>
  <pivotFields count="2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outline="0" showAll="0"/>
    <pivotField axis="axisRow" compact="0" outline="0" showAll="0">
      <items count="6">
        <item x="4"/>
        <item h="1" x="0"/>
        <item x="3"/>
        <item x="2"/>
        <item x="1"/>
        <item t="default"/>
      </items>
    </pivotField>
    <pivotField compact="0" outline="0" showAll="0"/>
    <pivotField axis="axisRow" compact="0" outline="0" showAll="0">
      <items count="2">
        <item x="0"/>
        <item t="default"/>
      </items>
    </pivotField>
    <pivotField compact="0" numFmtId="1" outline="0" showAll="0"/>
    <pivotField axis="axisRow" compact="0" outline="0" showAll="0">
      <items count="2">
        <item x="0"/>
        <item t="default"/>
      </items>
    </pivotField>
    <pivotField compact="0" numFmtId="1" outline="0" showAll="0"/>
  </pivotFields>
  <rowFields count="4">
    <field x="19"/>
    <field x="17"/>
    <field x="7"/>
    <field x="15"/>
  </rowFields>
  <rowItems count="13">
    <i>
      <x/>
      <x/>
      <x/>
      <x/>
    </i>
    <i r="3">
      <x v="2"/>
    </i>
    <i r="3">
      <x v="3"/>
    </i>
    <i r="3">
      <x v="4"/>
    </i>
    <i t="default" r="2">
      <x/>
    </i>
    <i r="2">
      <x v="1"/>
      <x/>
    </i>
    <i r="3">
      <x v="2"/>
    </i>
    <i r="3">
      <x v="3"/>
    </i>
    <i r="3">
      <x v="4"/>
    </i>
    <i t="default" r="2">
      <x v="1"/>
    </i>
    <i t="default" r="1">
      <x/>
    </i>
    <i t="default">
      <x/>
    </i>
    <i t="grand">
      <x/>
    </i>
  </rowItems>
  <colItems count="1">
    <i/>
  </colItems>
  <dataFields count="1">
    <dataField name="Sum of Agency Payment" fld="13" baseField="0" baseItem="0" numFmtId="164"/>
  </dataFields>
  <formats count="1">
    <format dxfId="25">
      <pivotArea dataOnly="0" outline="0" fieldPosition="0">
        <references count="1">
          <reference field="7" count="0" defaultSubtotal="1"/>
        </references>
      </pivotArea>
    </format>
  </formats>
  <pivotTableStyleInfo name="PivotStyleMedium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CF21E-664C-4AE6-A936-ED5A651B05ED}">
  <sheetPr filterMode="1"/>
  <dimension ref="A1:U421"/>
  <sheetViews>
    <sheetView tabSelected="1" topLeftCell="F1" workbookViewId="0">
      <selection activeCell="H1" sqref="H1"/>
    </sheetView>
  </sheetViews>
  <sheetFormatPr defaultRowHeight="54.75" customHeight="1" x14ac:dyDescent="0.25"/>
  <cols>
    <col min="1" max="1" width="13.5703125" bestFit="1" customWidth="1"/>
    <col min="2" max="2" width="15.140625" bestFit="1" customWidth="1"/>
    <col min="3" max="3" width="16.42578125" bestFit="1" customWidth="1"/>
    <col min="4" max="4" width="32.5703125" bestFit="1" customWidth="1"/>
    <col min="5" max="5" width="18.140625" bestFit="1" customWidth="1"/>
    <col min="6" max="6" width="15.85546875" bestFit="1" customWidth="1"/>
    <col min="7" max="7" width="13.42578125" bestFit="1" customWidth="1"/>
    <col min="8" max="8" width="13.42578125" customWidth="1"/>
    <col min="9" max="9" width="11.5703125" bestFit="1" customWidth="1"/>
    <col min="10" max="10" width="26.42578125" bestFit="1" customWidth="1"/>
    <col min="11" max="11" width="29.28515625" bestFit="1" customWidth="1"/>
    <col min="12" max="13" width="11" bestFit="1" customWidth="1"/>
    <col min="14" max="14" width="22" bestFit="1" customWidth="1"/>
    <col min="15" max="15" width="20.42578125" bestFit="1" customWidth="1"/>
    <col min="16" max="16" width="21.85546875" bestFit="1" customWidth="1"/>
    <col min="17" max="17" width="11.28515625" bestFit="1" customWidth="1"/>
    <col min="18" max="18" width="9.7109375" bestFit="1" customWidth="1"/>
    <col min="19" max="19" width="11.28515625" bestFit="1" customWidth="1"/>
    <col min="20" max="20" width="11.85546875" bestFit="1" customWidth="1"/>
    <col min="21" max="21" width="11.28515625" bestFit="1" customWidth="1"/>
  </cols>
  <sheetData>
    <row r="1" spans="1:21" ht="54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1380</v>
      </c>
      <c r="I1" s="5" t="s">
        <v>17</v>
      </c>
      <c r="J1" s="6" t="s">
        <v>18</v>
      </c>
      <c r="K1" s="6" t="s">
        <v>19</v>
      </c>
      <c r="L1" s="6" t="s">
        <v>20</v>
      </c>
      <c r="M1" s="6" t="s">
        <v>22</v>
      </c>
      <c r="N1" s="9" t="s">
        <v>23</v>
      </c>
      <c r="O1" s="10" t="s">
        <v>24</v>
      </c>
      <c r="P1" s="51" t="s">
        <v>1353</v>
      </c>
      <c r="Q1" s="51" t="s">
        <v>1354</v>
      </c>
      <c r="R1" s="51" t="s">
        <v>1355</v>
      </c>
      <c r="S1" s="51" t="s">
        <v>1354</v>
      </c>
      <c r="T1" s="51" t="s">
        <v>1356</v>
      </c>
      <c r="U1" s="51" t="s">
        <v>1354</v>
      </c>
    </row>
    <row r="2" spans="1:21" ht="54.75" customHeight="1" x14ac:dyDescent="0.25">
      <c r="A2" s="2" t="s">
        <v>7</v>
      </c>
      <c r="B2" s="3" t="s">
        <v>8</v>
      </c>
      <c r="C2" s="4">
        <v>2</v>
      </c>
      <c r="D2" s="4" t="s">
        <v>9</v>
      </c>
      <c r="E2" s="3" t="s">
        <v>10</v>
      </c>
      <c r="F2" s="3" t="s">
        <v>11</v>
      </c>
      <c r="G2" s="3" t="s">
        <v>11</v>
      </c>
      <c r="H2" s="3" t="s">
        <v>1381</v>
      </c>
      <c r="I2" s="4" t="s">
        <v>21</v>
      </c>
      <c r="J2" s="7">
        <v>7056030</v>
      </c>
      <c r="K2" s="8">
        <v>14808521</v>
      </c>
      <c r="L2" s="8">
        <v>2467381</v>
      </c>
      <c r="M2" s="8">
        <v>251860</v>
      </c>
      <c r="N2" s="11">
        <v>0</v>
      </c>
      <c r="O2" s="12"/>
      <c r="P2" t="s">
        <v>1357</v>
      </c>
      <c r="R2" s="53" t="s">
        <v>1362</v>
      </c>
      <c r="S2" s="54">
        <v>54</v>
      </c>
      <c r="T2" s="53" t="s">
        <v>1363</v>
      </c>
      <c r="U2" s="54">
        <v>31</v>
      </c>
    </row>
    <row r="3" spans="1:21" ht="54.75" customHeight="1" x14ac:dyDescent="0.25">
      <c r="A3" s="2" t="s">
        <v>12</v>
      </c>
      <c r="B3" s="3" t="s">
        <v>13</v>
      </c>
      <c r="C3" s="4">
        <v>2</v>
      </c>
      <c r="D3" s="4" t="s">
        <v>14</v>
      </c>
      <c r="E3" s="3" t="s">
        <v>15</v>
      </c>
      <c r="F3" s="3" t="s">
        <v>16</v>
      </c>
      <c r="G3" s="3" t="s">
        <v>16</v>
      </c>
      <c r="H3" s="3" t="s">
        <v>1375</v>
      </c>
      <c r="I3" s="4" t="s">
        <v>21</v>
      </c>
      <c r="J3" s="7">
        <v>3967150</v>
      </c>
      <c r="K3" s="8">
        <v>7929169</v>
      </c>
      <c r="L3" s="8">
        <v>832744</v>
      </c>
      <c r="M3" s="8">
        <v>144825</v>
      </c>
      <c r="N3" s="11">
        <v>0</v>
      </c>
      <c r="O3" s="12"/>
      <c r="P3" t="s">
        <v>1357</v>
      </c>
      <c r="R3" s="53" t="s">
        <v>1362</v>
      </c>
      <c r="S3" s="54">
        <v>54</v>
      </c>
      <c r="T3" s="53" t="s">
        <v>1363</v>
      </c>
      <c r="U3" s="54">
        <v>31</v>
      </c>
    </row>
    <row r="4" spans="1:21" ht="54.75" customHeight="1" x14ac:dyDescent="0.25">
      <c r="A4" s="2" t="s">
        <v>25</v>
      </c>
      <c r="B4" s="3" t="s">
        <v>26</v>
      </c>
      <c r="C4" s="4">
        <v>2</v>
      </c>
      <c r="D4" s="4" t="s">
        <v>27</v>
      </c>
      <c r="E4" s="3" t="s">
        <v>28</v>
      </c>
      <c r="F4" s="3" t="s">
        <v>29</v>
      </c>
      <c r="G4" s="3" t="s">
        <v>29</v>
      </c>
      <c r="H4" s="3" t="s">
        <v>1375</v>
      </c>
      <c r="I4" s="4" t="s">
        <v>21</v>
      </c>
      <c r="J4" s="7">
        <v>1062270</v>
      </c>
      <c r="K4" s="8">
        <v>2136139</v>
      </c>
      <c r="L4" s="8">
        <v>173204</v>
      </c>
      <c r="M4" s="8">
        <v>38490</v>
      </c>
      <c r="N4" s="11">
        <v>0</v>
      </c>
      <c r="O4" s="12"/>
      <c r="P4" t="s">
        <v>1357</v>
      </c>
      <c r="R4" s="53" t="s">
        <v>1362</v>
      </c>
      <c r="S4" s="54">
        <v>54</v>
      </c>
      <c r="T4" s="53" t="s">
        <v>1363</v>
      </c>
      <c r="U4" s="54">
        <v>31</v>
      </c>
    </row>
    <row r="5" spans="1:21" ht="54.75" customHeight="1" x14ac:dyDescent="0.25">
      <c r="A5" s="2" t="s">
        <v>30</v>
      </c>
      <c r="B5" s="3" t="s">
        <v>8</v>
      </c>
      <c r="C5" s="4">
        <v>2</v>
      </c>
      <c r="D5" s="4" t="s">
        <v>9</v>
      </c>
      <c r="E5" s="3" t="s">
        <v>10</v>
      </c>
      <c r="F5" s="3" t="s">
        <v>11</v>
      </c>
      <c r="G5" s="3" t="s">
        <v>11</v>
      </c>
      <c r="H5" s="3" t="s">
        <v>1381</v>
      </c>
      <c r="I5" s="4" t="s">
        <v>21</v>
      </c>
      <c r="J5" s="7">
        <v>195160</v>
      </c>
      <c r="K5" s="8">
        <v>286905</v>
      </c>
      <c r="L5" s="8">
        <v>262000</v>
      </c>
      <c r="M5" s="8">
        <v>24905</v>
      </c>
      <c r="N5" s="11">
        <v>0</v>
      </c>
      <c r="O5" s="12"/>
      <c r="P5" t="s">
        <v>1357</v>
      </c>
      <c r="R5" s="53" t="s">
        <v>1362</v>
      </c>
      <c r="S5" s="54">
        <v>54</v>
      </c>
      <c r="T5" s="53" t="s">
        <v>1363</v>
      </c>
      <c r="U5" s="54">
        <v>31</v>
      </c>
    </row>
    <row r="6" spans="1:21" ht="54.75" hidden="1" customHeight="1" x14ac:dyDescent="0.25">
      <c r="A6" s="2" t="s">
        <v>31</v>
      </c>
      <c r="B6" s="3" t="s">
        <v>32</v>
      </c>
      <c r="C6" s="4">
        <v>1</v>
      </c>
      <c r="D6" s="4" t="s">
        <v>33</v>
      </c>
      <c r="E6" s="3" t="s">
        <v>34</v>
      </c>
      <c r="F6" s="3" t="s">
        <v>35</v>
      </c>
      <c r="G6" s="3" t="s">
        <v>35</v>
      </c>
      <c r="H6" s="3" t="s">
        <v>1375</v>
      </c>
      <c r="I6" s="4" t="s">
        <v>21</v>
      </c>
      <c r="J6" s="7">
        <v>166455</v>
      </c>
      <c r="K6" s="8">
        <v>273285</v>
      </c>
      <c r="L6" s="8">
        <v>20695</v>
      </c>
      <c r="M6" s="8">
        <v>9715</v>
      </c>
      <c r="N6" s="11">
        <v>0</v>
      </c>
      <c r="O6" s="12"/>
      <c r="P6" s="2" t="s">
        <v>1361</v>
      </c>
      <c r="Q6" s="52">
        <v>732</v>
      </c>
      <c r="R6" s="53" t="s">
        <v>1362</v>
      </c>
      <c r="S6" s="54">
        <v>54</v>
      </c>
      <c r="T6" s="53" t="s">
        <v>1363</v>
      </c>
      <c r="U6" s="54">
        <v>31</v>
      </c>
    </row>
    <row r="7" spans="1:21" ht="54.75" hidden="1" customHeight="1" x14ac:dyDescent="0.25">
      <c r="A7" s="2" t="s">
        <v>36</v>
      </c>
      <c r="B7" s="3" t="s">
        <v>37</v>
      </c>
      <c r="C7" s="4">
        <v>2</v>
      </c>
      <c r="D7" s="4" t="s">
        <v>38</v>
      </c>
      <c r="E7" s="3" t="s">
        <v>39</v>
      </c>
      <c r="F7" s="3" t="s">
        <v>40</v>
      </c>
      <c r="G7" s="3" t="s">
        <v>41</v>
      </c>
      <c r="H7" s="3" t="s">
        <v>1375</v>
      </c>
      <c r="I7" s="4" t="s">
        <v>21</v>
      </c>
      <c r="J7" s="7">
        <v>162230</v>
      </c>
      <c r="K7" s="8">
        <v>264590</v>
      </c>
      <c r="L7" s="8">
        <v>37055</v>
      </c>
      <c r="M7" s="8">
        <v>10835</v>
      </c>
      <c r="N7" s="11">
        <v>37055</v>
      </c>
      <c r="O7" s="12">
        <v>45955</v>
      </c>
      <c r="P7" s="2" t="s">
        <v>1361</v>
      </c>
      <c r="Q7" s="52">
        <v>732</v>
      </c>
      <c r="R7" s="53" t="s">
        <v>1362</v>
      </c>
      <c r="S7" s="54">
        <v>54</v>
      </c>
      <c r="T7" s="53" t="s">
        <v>1363</v>
      </c>
      <c r="U7" s="54">
        <v>31</v>
      </c>
    </row>
    <row r="8" spans="1:21" ht="54.75" customHeight="1" x14ac:dyDescent="0.25">
      <c r="A8" s="2" t="s">
        <v>42</v>
      </c>
      <c r="B8" s="3" t="s">
        <v>13</v>
      </c>
      <c r="C8" s="4">
        <v>2</v>
      </c>
      <c r="D8" s="4" t="s">
        <v>14</v>
      </c>
      <c r="E8" s="3" t="s">
        <v>15</v>
      </c>
      <c r="F8" s="3" t="s">
        <v>43</v>
      </c>
      <c r="G8" s="3" t="s">
        <v>43</v>
      </c>
      <c r="H8" s="3" t="s">
        <v>1375</v>
      </c>
      <c r="I8" s="4" t="s">
        <v>21</v>
      </c>
      <c r="J8" s="7">
        <v>155950</v>
      </c>
      <c r="K8" s="8">
        <v>201791</v>
      </c>
      <c r="L8" s="8">
        <v>176886</v>
      </c>
      <c r="M8" s="8">
        <v>24905</v>
      </c>
      <c r="N8" s="11">
        <v>0</v>
      </c>
      <c r="O8" s="12"/>
      <c r="P8" t="s">
        <v>1357</v>
      </c>
      <c r="R8" s="53" t="s">
        <v>1362</v>
      </c>
      <c r="S8" s="54">
        <v>54</v>
      </c>
      <c r="T8" s="53" t="s">
        <v>1363</v>
      </c>
      <c r="U8" s="54">
        <v>31</v>
      </c>
    </row>
    <row r="9" spans="1:21" ht="54.75" hidden="1" customHeight="1" x14ac:dyDescent="0.25">
      <c r="A9" s="2" t="s">
        <v>44</v>
      </c>
      <c r="B9" s="3" t="s">
        <v>45</v>
      </c>
      <c r="C9" s="4">
        <v>1</v>
      </c>
      <c r="D9" s="4" t="s">
        <v>46</v>
      </c>
      <c r="E9" s="3" t="s">
        <v>47</v>
      </c>
      <c r="F9" s="3" t="s">
        <v>35</v>
      </c>
      <c r="G9" s="3" t="s">
        <v>35</v>
      </c>
      <c r="H9" s="3" t="s">
        <v>1375</v>
      </c>
      <c r="I9" s="4" t="s">
        <v>21</v>
      </c>
      <c r="J9" s="7">
        <v>155595</v>
      </c>
      <c r="K9" s="8">
        <v>237238</v>
      </c>
      <c r="L9" s="8">
        <v>22513</v>
      </c>
      <c r="M9" s="8">
        <v>10225</v>
      </c>
      <c r="N9" s="11">
        <v>0</v>
      </c>
      <c r="O9" s="12"/>
      <c r="P9" s="2" t="s">
        <v>1358</v>
      </c>
      <c r="Q9" s="52">
        <v>772</v>
      </c>
      <c r="R9" s="53" t="s">
        <v>1362</v>
      </c>
      <c r="S9" s="54">
        <v>54</v>
      </c>
      <c r="T9" s="53" t="s">
        <v>1363</v>
      </c>
      <c r="U9" s="54">
        <v>31</v>
      </c>
    </row>
    <row r="10" spans="1:21" ht="54.75" hidden="1" customHeight="1" x14ac:dyDescent="0.25">
      <c r="A10" s="2" t="s">
        <v>48</v>
      </c>
      <c r="B10" s="3" t="s">
        <v>49</v>
      </c>
      <c r="C10" s="4">
        <v>1</v>
      </c>
      <c r="D10" s="4" t="s">
        <v>50</v>
      </c>
      <c r="E10" s="3" t="s">
        <v>51</v>
      </c>
      <c r="F10" s="3" t="s">
        <v>16</v>
      </c>
      <c r="G10" s="3" t="s">
        <v>35</v>
      </c>
      <c r="H10" s="3" t="s">
        <v>1375</v>
      </c>
      <c r="I10" s="4" t="s">
        <v>21</v>
      </c>
      <c r="J10" s="7">
        <v>133380</v>
      </c>
      <c r="K10" s="8">
        <v>275489</v>
      </c>
      <c r="L10" s="8">
        <v>26864</v>
      </c>
      <c r="M10" s="8">
        <v>4875</v>
      </c>
      <c r="N10" s="11">
        <v>16110</v>
      </c>
      <c r="O10" s="12">
        <v>45949</v>
      </c>
      <c r="P10" s="2" t="s">
        <v>1361</v>
      </c>
      <c r="Q10" s="52">
        <v>732</v>
      </c>
      <c r="R10" s="53" t="s">
        <v>1362</v>
      </c>
      <c r="S10" s="54">
        <v>54</v>
      </c>
      <c r="T10" s="53" t="s">
        <v>1363</v>
      </c>
      <c r="U10" s="54">
        <v>31</v>
      </c>
    </row>
    <row r="11" spans="1:21" ht="54.75" hidden="1" customHeight="1" x14ac:dyDescent="0.25">
      <c r="A11" s="2" t="s">
        <v>52</v>
      </c>
      <c r="B11" s="3" t="s">
        <v>53</v>
      </c>
      <c r="C11" s="4">
        <v>1</v>
      </c>
      <c r="D11" s="4" t="s">
        <v>54</v>
      </c>
      <c r="E11" s="3" t="s">
        <v>55</v>
      </c>
      <c r="F11" s="3" t="s">
        <v>29</v>
      </c>
      <c r="G11" s="3" t="s">
        <v>29</v>
      </c>
      <c r="H11" s="3" t="s">
        <v>1375</v>
      </c>
      <c r="I11" s="4" t="s">
        <v>21</v>
      </c>
      <c r="J11" s="7">
        <v>132550</v>
      </c>
      <c r="K11" s="8">
        <v>248330</v>
      </c>
      <c r="L11" s="8">
        <v>23440</v>
      </c>
      <c r="M11" s="8">
        <v>5230</v>
      </c>
      <c r="N11" s="11">
        <v>0</v>
      </c>
      <c r="O11" s="12"/>
      <c r="P11" s="2" t="s">
        <v>1361</v>
      </c>
      <c r="Q11" s="52">
        <v>732</v>
      </c>
      <c r="R11" s="53" t="s">
        <v>1362</v>
      </c>
      <c r="S11" s="54">
        <v>54</v>
      </c>
      <c r="T11" s="53" t="s">
        <v>1363</v>
      </c>
      <c r="U11" s="54">
        <v>31</v>
      </c>
    </row>
    <row r="12" spans="1:21" ht="54.75" hidden="1" customHeight="1" x14ac:dyDescent="0.25">
      <c r="A12" s="2" t="s">
        <v>56</v>
      </c>
      <c r="B12" s="3" t="s">
        <v>57</v>
      </c>
      <c r="C12" s="4">
        <v>1</v>
      </c>
      <c r="D12" s="4" t="s">
        <v>58</v>
      </c>
      <c r="E12" s="3" t="s">
        <v>59</v>
      </c>
      <c r="F12" s="3" t="s">
        <v>35</v>
      </c>
      <c r="G12" s="3" t="s">
        <v>35</v>
      </c>
      <c r="H12" s="3" t="s">
        <v>1375</v>
      </c>
      <c r="I12" s="4" t="s">
        <v>21</v>
      </c>
      <c r="J12" s="7">
        <v>120500</v>
      </c>
      <c r="K12" s="8">
        <v>197381</v>
      </c>
      <c r="L12" s="8">
        <v>12047</v>
      </c>
      <c r="M12" s="8">
        <v>5451</v>
      </c>
      <c r="N12" s="11">
        <v>0</v>
      </c>
      <c r="O12" s="12"/>
      <c r="P12" s="2" t="s">
        <v>1361</v>
      </c>
      <c r="Q12" s="52">
        <v>732</v>
      </c>
      <c r="R12" s="53" t="s">
        <v>1362</v>
      </c>
      <c r="S12" s="54">
        <v>54</v>
      </c>
      <c r="T12" s="53" t="s">
        <v>1363</v>
      </c>
      <c r="U12" s="54">
        <v>31</v>
      </c>
    </row>
    <row r="13" spans="1:21" ht="54.75" hidden="1" customHeight="1" x14ac:dyDescent="0.25">
      <c r="A13" s="2" t="s">
        <v>60</v>
      </c>
      <c r="B13" s="3" t="s">
        <v>61</v>
      </c>
      <c r="C13" s="4">
        <v>2</v>
      </c>
      <c r="D13" s="4" t="s">
        <v>62</v>
      </c>
      <c r="E13" s="3" t="s">
        <v>63</v>
      </c>
      <c r="F13" s="3" t="s">
        <v>35</v>
      </c>
      <c r="G13" s="3" t="s">
        <v>35</v>
      </c>
      <c r="H13" s="3" t="s">
        <v>1375</v>
      </c>
      <c r="I13" s="4" t="s">
        <v>21</v>
      </c>
      <c r="J13" s="7">
        <v>118620</v>
      </c>
      <c r="K13" s="8">
        <v>188697</v>
      </c>
      <c r="L13" s="8">
        <v>17967</v>
      </c>
      <c r="M13" s="8">
        <v>8130</v>
      </c>
      <c r="N13" s="11">
        <v>0</v>
      </c>
      <c r="O13" s="12"/>
      <c r="P13" s="2" t="s">
        <v>1361</v>
      </c>
      <c r="Q13" s="52">
        <v>732</v>
      </c>
      <c r="R13" s="53" t="s">
        <v>1362</v>
      </c>
      <c r="S13" s="54">
        <v>54</v>
      </c>
      <c r="T13" s="53" t="s">
        <v>1363</v>
      </c>
      <c r="U13" s="54">
        <v>31</v>
      </c>
    </row>
    <row r="14" spans="1:21" ht="54.75" hidden="1" customHeight="1" x14ac:dyDescent="0.25">
      <c r="A14" s="2" t="s">
        <v>64</v>
      </c>
      <c r="B14" s="3" t="s">
        <v>65</v>
      </c>
      <c r="C14" s="4">
        <v>1</v>
      </c>
      <c r="D14" s="4" t="s">
        <v>66</v>
      </c>
      <c r="E14" s="3" t="s">
        <v>67</v>
      </c>
      <c r="F14" s="3" t="s">
        <v>43</v>
      </c>
      <c r="G14" s="3" t="s">
        <v>43</v>
      </c>
      <c r="H14" s="3" t="s">
        <v>1375</v>
      </c>
      <c r="I14" s="4" t="s">
        <v>21</v>
      </c>
      <c r="J14" s="7">
        <v>106170</v>
      </c>
      <c r="K14" s="8">
        <v>191668</v>
      </c>
      <c r="L14" s="8">
        <v>48558</v>
      </c>
      <c r="M14" s="8">
        <v>6505</v>
      </c>
      <c r="N14" s="11">
        <v>0</v>
      </c>
      <c r="O14" s="12"/>
      <c r="P14" s="2" t="s">
        <v>1361</v>
      </c>
      <c r="Q14" s="52">
        <v>732</v>
      </c>
      <c r="R14" s="53" t="s">
        <v>1362</v>
      </c>
      <c r="S14" s="54">
        <v>54</v>
      </c>
      <c r="T14" s="53" t="s">
        <v>1363</v>
      </c>
      <c r="U14" s="54">
        <v>31</v>
      </c>
    </row>
    <row r="15" spans="1:21" ht="54.75" customHeight="1" x14ac:dyDescent="0.25">
      <c r="A15" s="2" t="s">
        <v>68</v>
      </c>
      <c r="B15" s="3" t="s">
        <v>26</v>
      </c>
      <c r="C15" s="4">
        <v>2</v>
      </c>
      <c r="D15" s="4" t="s">
        <v>27</v>
      </c>
      <c r="E15" s="3" t="s">
        <v>28</v>
      </c>
      <c r="F15" s="3" t="s">
        <v>29</v>
      </c>
      <c r="G15" s="3" t="s">
        <v>29</v>
      </c>
      <c r="H15" s="3" t="s">
        <v>1375</v>
      </c>
      <c r="I15" s="4" t="s">
        <v>21</v>
      </c>
      <c r="J15" s="7">
        <v>96570</v>
      </c>
      <c r="K15" s="8">
        <v>195452</v>
      </c>
      <c r="L15" s="8">
        <v>16497</v>
      </c>
      <c r="M15" s="8">
        <v>3510</v>
      </c>
      <c r="N15" s="11">
        <v>0</v>
      </c>
      <c r="O15" s="12"/>
      <c r="P15" t="s">
        <v>1357</v>
      </c>
      <c r="R15" s="53" t="s">
        <v>1362</v>
      </c>
      <c r="S15" s="54">
        <v>54</v>
      </c>
      <c r="T15" s="53" t="s">
        <v>1363</v>
      </c>
      <c r="U15" s="54">
        <v>31</v>
      </c>
    </row>
    <row r="16" spans="1:21" ht="54.75" hidden="1" customHeight="1" x14ac:dyDescent="0.25">
      <c r="A16" s="2" t="s">
        <v>69</v>
      </c>
      <c r="B16" s="3" t="s">
        <v>70</v>
      </c>
      <c r="C16" s="4">
        <v>3</v>
      </c>
      <c r="D16" s="4" t="s">
        <v>71</v>
      </c>
      <c r="E16" s="3" t="s">
        <v>72</v>
      </c>
      <c r="F16" s="3" t="s">
        <v>29</v>
      </c>
      <c r="G16" s="3" t="s">
        <v>29</v>
      </c>
      <c r="H16" s="3" t="s">
        <v>1375</v>
      </c>
      <c r="I16" s="4" t="s">
        <v>21</v>
      </c>
      <c r="J16" s="7">
        <v>95484</v>
      </c>
      <c r="K16" s="8">
        <v>176094</v>
      </c>
      <c r="L16" s="8">
        <v>26109</v>
      </c>
      <c r="M16" s="8">
        <v>5555</v>
      </c>
      <c r="N16" s="11">
        <v>0</v>
      </c>
      <c r="O16" s="12"/>
      <c r="P16" s="2" t="s">
        <v>1358</v>
      </c>
      <c r="Q16" s="52">
        <v>772</v>
      </c>
      <c r="R16" s="53" t="s">
        <v>1362</v>
      </c>
      <c r="S16" s="54">
        <v>54</v>
      </c>
      <c r="T16" s="53" t="s">
        <v>1363</v>
      </c>
      <c r="U16" s="54">
        <v>31</v>
      </c>
    </row>
    <row r="17" spans="1:21" ht="54.75" hidden="1" customHeight="1" x14ac:dyDescent="0.25">
      <c r="A17" s="2" t="s">
        <v>73</v>
      </c>
      <c r="B17" s="3" t="s">
        <v>74</v>
      </c>
      <c r="C17" s="4">
        <v>1</v>
      </c>
      <c r="D17" s="4" t="s">
        <v>75</v>
      </c>
      <c r="E17" s="3" t="s">
        <v>76</v>
      </c>
      <c r="F17" s="3" t="s">
        <v>29</v>
      </c>
      <c r="G17" s="3" t="s">
        <v>35</v>
      </c>
      <c r="H17" s="3" t="s">
        <v>1375</v>
      </c>
      <c r="I17" s="4" t="s">
        <v>21</v>
      </c>
      <c r="J17" s="7">
        <v>89305</v>
      </c>
      <c r="K17" s="8">
        <v>121394</v>
      </c>
      <c r="L17" s="8">
        <v>44434</v>
      </c>
      <c r="M17" s="8">
        <v>9620</v>
      </c>
      <c r="N17" s="11">
        <v>24200</v>
      </c>
      <c r="O17" s="12">
        <v>45961</v>
      </c>
      <c r="P17" s="2" t="s">
        <v>1358</v>
      </c>
      <c r="Q17" s="52">
        <v>772</v>
      </c>
      <c r="R17" s="53" t="s">
        <v>1362</v>
      </c>
      <c r="S17" s="54">
        <v>54</v>
      </c>
      <c r="T17" s="53" t="s">
        <v>1363</v>
      </c>
      <c r="U17" s="54">
        <v>31</v>
      </c>
    </row>
    <row r="18" spans="1:21" ht="54.75" customHeight="1" x14ac:dyDescent="0.25">
      <c r="A18" s="2" t="s">
        <v>77</v>
      </c>
      <c r="B18" s="3" t="s">
        <v>78</v>
      </c>
      <c r="C18" s="4">
        <v>1</v>
      </c>
      <c r="D18" s="4" t="s">
        <v>79</v>
      </c>
      <c r="E18" s="3" t="s">
        <v>80</v>
      </c>
      <c r="F18" s="3" t="s">
        <v>43</v>
      </c>
      <c r="G18" s="3" t="s">
        <v>43</v>
      </c>
      <c r="H18" s="3" t="s">
        <v>1375</v>
      </c>
      <c r="I18" s="4" t="s">
        <v>21</v>
      </c>
      <c r="J18" s="7">
        <v>83310</v>
      </c>
      <c r="K18" s="8">
        <v>130051</v>
      </c>
      <c r="L18" s="8">
        <v>49831</v>
      </c>
      <c r="M18" s="8">
        <v>6685</v>
      </c>
      <c r="N18" s="11">
        <v>0</v>
      </c>
      <c r="O18" s="12"/>
      <c r="P18" t="s">
        <v>1359</v>
      </c>
      <c r="R18" s="53" t="s">
        <v>1362</v>
      </c>
      <c r="S18" s="54">
        <v>54</v>
      </c>
      <c r="T18" s="53" t="s">
        <v>1363</v>
      </c>
      <c r="U18" s="54">
        <v>31</v>
      </c>
    </row>
    <row r="19" spans="1:21" ht="54.75" hidden="1" customHeight="1" x14ac:dyDescent="0.25">
      <c r="A19" s="2" t="s">
        <v>81</v>
      </c>
      <c r="B19" s="3" t="s">
        <v>82</v>
      </c>
      <c r="C19" s="4">
        <v>2</v>
      </c>
      <c r="D19" s="4" t="s">
        <v>83</v>
      </c>
      <c r="E19" s="3" t="s">
        <v>84</v>
      </c>
      <c r="F19" s="3" t="s">
        <v>43</v>
      </c>
      <c r="G19" s="3" t="s">
        <v>43</v>
      </c>
      <c r="H19" s="3" t="s">
        <v>1375</v>
      </c>
      <c r="I19" s="4" t="s">
        <v>21</v>
      </c>
      <c r="J19" s="7">
        <v>82385</v>
      </c>
      <c r="K19" s="8">
        <v>153832</v>
      </c>
      <c r="L19" s="8">
        <v>31112</v>
      </c>
      <c r="M19" s="8">
        <v>4720</v>
      </c>
      <c r="N19" s="11">
        <v>0</v>
      </c>
      <c r="O19" s="12"/>
      <c r="P19" s="2" t="s">
        <v>1361</v>
      </c>
      <c r="Q19" s="52">
        <v>732</v>
      </c>
      <c r="R19" s="53" t="s">
        <v>1362</v>
      </c>
      <c r="S19" s="54">
        <v>54</v>
      </c>
      <c r="T19" s="53" t="s">
        <v>1363</v>
      </c>
      <c r="U19" s="54">
        <v>31</v>
      </c>
    </row>
    <row r="20" spans="1:21" ht="54.75" hidden="1" customHeight="1" x14ac:dyDescent="0.25">
      <c r="A20" s="2" t="s">
        <v>85</v>
      </c>
      <c r="B20" s="3" t="s">
        <v>86</v>
      </c>
      <c r="C20" s="4">
        <v>1</v>
      </c>
      <c r="D20" s="4" t="s">
        <v>87</v>
      </c>
      <c r="E20" s="3" t="s">
        <v>88</v>
      </c>
      <c r="F20" s="3" t="s">
        <v>35</v>
      </c>
      <c r="G20" s="3" t="s">
        <v>41</v>
      </c>
      <c r="H20" s="3" t="s">
        <v>1375</v>
      </c>
      <c r="I20" s="4" t="s">
        <v>21</v>
      </c>
      <c r="J20" s="7">
        <v>81100</v>
      </c>
      <c r="K20" s="8">
        <v>131334</v>
      </c>
      <c r="L20" s="8">
        <v>11984</v>
      </c>
      <c r="M20" s="8">
        <v>5425</v>
      </c>
      <c r="N20" s="11">
        <v>11984</v>
      </c>
      <c r="O20" s="12">
        <v>45959</v>
      </c>
      <c r="P20" s="2" t="s">
        <v>1358</v>
      </c>
      <c r="Q20" s="52">
        <v>772</v>
      </c>
      <c r="R20" s="53" t="s">
        <v>1362</v>
      </c>
      <c r="S20" s="54">
        <v>54</v>
      </c>
      <c r="T20" s="53" t="s">
        <v>1363</v>
      </c>
      <c r="U20" s="54">
        <v>31</v>
      </c>
    </row>
    <row r="21" spans="1:21" ht="54.75" hidden="1" customHeight="1" x14ac:dyDescent="0.25">
      <c r="A21" s="2" t="s">
        <v>89</v>
      </c>
      <c r="B21" s="3" t="s">
        <v>90</v>
      </c>
      <c r="C21" s="4">
        <v>1</v>
      </c>
      <c r="D21" s="4" t="s">
        <v>91</v>
      </c>
      <c r="E21" s="3" t="s">
        <v>92</v>
      </c>
      <c r="F21" s="3" t="s">
        <v>29</v>
      </c>
      <c r="G21" s="3" t="s">
        <v>35</v>
      </c>
      <c r="H21" s="3" t="s">
        <v>1375</v>
      </c>
      <c r="I21" s="4" t="s">
        <v>21</v>
      </c>
      <c r="J21" s="7">
        <v>79357</v>
      </c>
      <c r="K21" s="8">
        <v>112350</v>
      </c>
      <c r="L21" s="8">
        <v>25445</v>
      </c>
      <c r="M21" s="8">
        <v>6685</v>
      </c>
      <c r="N21" s="11">
        <v>11200</v>
      </c>
      <c r="O21" s="12">
        <v>45960</v>
      </c>
      <c r="P21" s="2" t="s">
        <v>1361</v>
      </c>
      <c r="Q21" s="52">
        <v>732</v>
      </c>
      <c r="R21" s="53" t="s">
        <v>1362</v>
      </c>
      <c r="S21" s="54">
        <v>54</v>
      </c>
      <c r="T21" s="53" t="s">
        <v>1363</v>
      </c>
      <c r="U21" s="54">
        <v>31</v>
      </c>
    </row>
    <row r="22" spans="1:21" ht="54.75" hidden="1" customHeight="1" x14ac:dyDescent="0.25">
      <c r="A22" s="2" t="s">
        <v>93</v>
      </c>
      <c r="B22" s="3" t="s">
        <v>94</v>
      </c>
      <c r="C22" s="4">
        <v>1</v>
      </c>
      <c r="D22" s="4" t="s">
        <v>95</v>
      </c>
      <c r="E22" s="3" t="s">
        <v>96</v>
      </c>
      <c r="F22" s="3" t="s">
        <v>35</v>
      </c>
      <c r="G22" s="3" t="s">
        <v>35</v>
      </c>
      <c r="H22" s="3" t="s">
        <v>1375</v>
      </c>
      <c r="I22" s="4" t="s">
        <v>21</v>
      </c>
      <c r="J22" s="7">
        <v>79065</v>
      </c>
      <c r="K22" s="8">
        <v>125905</v>
      </c>
      <c r="L22" s="8">
        <v>11980</v>
      </c>
      <c r="M22" s="8">
        <v>5425</v>
      </c>
      <c r="N22" s="11">
        <v>6000</v>
      </c>
      <c r="O22" s="12">
        <v>45956</v>
      </c>
      <c r="P22" s="2" t="s">
        <v>1361</v>
      </c>
      <c r="Q22" s="52">
        <v>732</v>
      </c>
      <c r="R22" s="53" t="s">
        <v>1362</v>
      </c>
      <c r="S22" s="54">
        <v>54</v>
      </c>
      <c r="T22" s="53" t="s">
        <v>1363</v>
      </c>
      <c r="U22" s="54">
        <v>31</v>
      </c>
    </row>
    <row r="23" spans="1:21" ht="54.75" hidden="1" customHeight="1" x14ac:dyDescent="0.25">
      <c r="A23" s="2" t="s">
        <v>97</v>
      </c>
      <c r="B23" s="3" t="s">
        <v>98</v>
      </c>
      <c r="C23" s="4">
        <v>1</v>
      </c>
      <c r="D23" s="4" t="s">
        <v>99</v>
      </c>
      <c r="E23" s="3" t="s">
        <v>100</v>
      </c>
      <c r="F23" s="3" t="s">
        <v>35</v>
      </c>
      <c r="G23" s="3" t="s">
        <v>35</v>
      </c>
      <c r="H23" s="3" t="s">
        <v>1375</v>
      </c>
      <c r="I23" s="4" t="s">
        <v>21</v>
      </c>
      <c r="J23" s="7">
        <v>77265</v>
      </c>
      <c r="K23" s="8">
        <v>116248</v>
      </c>
      <c r="L23" s="8">
        <v>5848</v>
      </c>
      <c r="M23" s="8">
        <v>2760</v>
      </c>
      <c r="N23" s="11">
        <v>0</v>
      </c>
      <c r="O23" s="12"/>
      <c r="P23" s="2" t="s">
        <v>1358</v>
      </c>
      <c r="Q23" s="52">
        <v>772</v>
      </c>
      <c r="R23" s="53" t="s">
        <v>1362</v>
      </c>
      <c r="S23" s="54">
        <v>54</v>
      </c>
      <c r="T23" s="53" t="s">
        <v>1363</v>
      </c>
      <c r="U23" s="54">
        <v>31</v>
      </c>
    </row>
    <row r="24" spans="1:21" ht="54.75" customHeight="1" x14ac:dyDescent="0.25">
      <c r="A24" s="2" t="s">
        <v>101</v>
      </c>
      <c r="B24" s="3" t="s">
        <v>102</v>
      </c>
      <c r="C24" s="4">
        <v>2</v>
      </c>
      <c r="D24" s="4" t="s">
        <v>103</v>
      </c>
      <c r="E24" s="3" t="s">
        <v>104</v>
      </c>
      <c r="F24" s="3" t="s">
        <v>11</v>
      </c>
      <c r="G24" s="3" t="s">
        <v>11</v>
      </c>
      <c r="H24" s="3" t="s">
        <v>1381</v>
      </c>
      <c r="I24" s="4" t="s">
        <v>21</v>
      </c>
      <c r="J24" s="7">
        <v>74139</v>
      </c>
      <c r="K24" s="8">
        <v>115334</v>
      </c>
      <c r="L24" s="8">
        <v>49939</v>
      </c>
      <c r="M24" s="8">
        <v>5945</v>
      </c>
      <c r="N24" s="11">
        <v>0</v>
      </c>
      <c r="O24" s="12"/>
      <c r="P24" t="s">
        <v>1359</v>
      </c>
      <c r="R24" s="53" t="s">
        <v>1362</v>
      </c>
      <c r="S24" s="54">
        <v>54</v>
      </c>
      <c r="T24" s="53" t="s">
        <v>1363</v>
      </c>
      <c r="U24" s="54">
        <v>31</v>
      </c>
    </row>
    <row r="25" spans="1:21" ht="54.75" hidden="1" customHeight="1" x14ac:dyDescent="0.25">
      <c r="A25" s="2" t="s">
        <v>105</v>
      </c>
      <c r="B25" s="3" t="s">
        <v>106</v>
      </c>
      <c r="C25" s="4">
        <v>2</v>
      </c>
      <c r="D25" s="4" t="s">
        <v>107</v>
      </c>
      <c r="E25" s="3" t="s">
        <v>108</v>
      </c>
      <c r="F25" s="3" t="s">
        <v>29</v>
      </c>
      <c r="G25" s="3" t="s">
        <v>40</v>
      </c>
      <c r="H25" s="3" t="s">
        <v>1375</v>
      </c>
      <c r="I25" s="4" t="s">
        <v>21</v>
      </c>
      <c r="J25" s="7">
        <v>73725</v>
      </c>
      <c r="K25" s="8">
        <v>121076</v>
      </c>
      <c r="L25" s="8">
        <v>15521</v>
      </c>
      <c r="M25" s="8">
        <v>3405</v>
      </c>
      <c r="N25" s="11">
        <v>5817</v>
      </c>
      <c r="O25" s="12">
        <v>45953</v>
      </c>
      <c r="P25" s="2" t="s">
        <v>1358</v>
      </c>
      <c r="Q25" s="52">
        <v>772</v>
      </c>
      <c r="R25" s="53" t="s">
        <v>1362</v>
      </c>
      <c r="S25" s="54">
        <v>54</v>
      </c>
      <c r="T25" s="53" t="s">
        <v>1363</v>
      </c>
      <c r="U25" s="54">
        <v>31</v>
      </c>
    </row>
    <row r="26" spans="1:21" ht="54.75" hidden="1" customHeight="1" x14ac:dyDescent="0.25">
      <c r="A26" s="2" t="s">
        <v>109</v>
      </c>
      <c r="B26" s="3" t="s">
        <v>110</v>
      </c>
      <c r="C26" s="4">
        <v>1</v>
      </c>
      <c r="D26" s="4" t="s">
        <v>111</v>
      </c>
      <c r="E26" s="3" t="s">
        <v>112</v>
      </c>
      <c r="F26" s="3" t="s">
        <v>29</v>
      </c>
      <c r="G26" s="3" t="s">
        <v>40</v>
      </c>
      <c r="H26" s="3" t="s">
        <v>1375</v>
      </c>
      <c r="I26" s="4" t="s">
        <v>21</v>
      </c>
      <c r="J26" s="7">
        <v>72380</v>
      </c>
      <c r="K26" s="8">
        <v>140620</v>
      </c>
      <c r="L26" s="8">
        <v>12740</v>
      </c>
      <c r="M26" s="8">
        <v>2780</v>
      </c>
      <c r="N26" s="11">
        <v>3600</v>
      </c>
      <c r="O26" s="12">
        <v>45937</v>
      </c>
      <c r="P26" s="2" t="s">
        <v>1358</v>
      </c>
      <c r="Q26" s="52">
        <v>772</v>
      </c>
      <c r="R26" s="53" t="s">
        <v>1362</v>
      </c>
      <c r="S26" s="54">
        <v>54</v>
      </c>
      <c r="T26" s="53" t="s">
        <v>1363</v>
      </c>
      <c r="U26" s="54">
        <v>31</v>
      </c>
    </row>
    <row r="27" spans="1:21" ht="54.75" hidden="1" customHeight="1" x14ac:dyDescent="0.25">
      <c r="A27" s="2" t="s">
        <v>113</v>
      </c>
      <c r="B27" s="3" t="s">
        <v>82</v>
      </c>
      <c r="C27" s="4">
        <v>2</v>
      </c>
      <c r="D27" s="4" t="s">
        <v>83</v>
      </c>
      <c r="E27" s="3" t="s">
        <v>84</v>
      </c>
      <c r="F27" s="3" t="s">
        <v>43</v>
      </c>
      <c r="G27" s="3" t="s">
        <v>43</v>
      </c>
      <c r="H27" s="3" t="s">
        <v>1375</v>
      </c>
      <c r="I27" s="4" t="s">
        <v>21</v>
      </c>
      <c r="J27" s="7">
        <v>69330</v>
      </c>
      <c r="K27" s="8">
        <v>91350</v>
      </c>
      <c r="L27" s="8">
        <v>80565</v>
      </c>
      <c r="M27" s="8">
        <v>10785</v>
      </c>
      <c r="N27" s="11">
        <v>0</v>
      </c>
      <c r="O27" s="12"/>
      <c r="P27" s="2" t="s">
        <v>1361</v>
      </c>
      <c r="Q27" s="52">
        <v>732</v>
      </c>
      <c r="R27" s="53" t="s">
        <v>1362</v>
      </c>
      <c r="S27" s="54">
        <v>54</v>
      </c>
      <c r="T27" s="53" t="s">
        <v>1363</v>
      </c>
      <c r="U27" s="54">
        <v>31</v>
      </c>
    </row>
    <row r="28" spans="1:21" ht="54.75" hidden="1" customHeight="1" x14ac:dyDescent="0.25">
      <c r="A28" s="2" t="s">
        <v>114</v>
      </c>
      <c r="B28" s="3" t="s">
        <v>115</v>
      </c>
      <c r="C28" s="4">
        <v>1</v>
      </c>
      <c r="D28" s="4" t="s">
        <v>116</v>
      </c>
      <c r="E28" s="3" t="s">
        <v>117</v>
      </c>
      <c r="F28" s="3" t="s">
        <v>29</v>
      </c>
      <c r="G28" s="3" t="s">
        <v>40</v>
      </c>
      <c r="H28" s="3" t="s">
        <v>1375</v>
      </c>
      <c r="I28" s="4" t="s">
        <v>21</v>
      </c>
      <c r="J28" s="7">
        <v>69159</v>
      </c>
      <c r="K28" s="8">
        <v>124184</v>
      </c>
      <c r="L28" s="8">
        <v>14294</v>
      </c>
      <c r="M28" s="8">
        <v>4070</v>
      </c>
      <c r="N28" s="11">
        <v>400</v>
      </c>
      <c r="O28" s="12">
        <v>45961</v>
      </c>
      <c r="P28" s="2" t="s">
        <v>1360</v>
      </c>
      <c r="Q28" s="52">
        <v>763</v>
      </c>
      <c r="R28" s="53" t="s">
        <v>1362</v>
      </c>
      <c r="S28" s="54">
        <v>54</v>
      </c>
      <c r="T28" s="53" t="s">
        <v>1363</v>
      </c>
      <c r="U28" s="54">
        <v>31</v>
      </c>
    </row>
    <row r="29" spans="1:21" ht="54.75" customHeight="1" x14ac:dyDescent="0.25">
      <c r="A29" s="2" t="s">
        <v>118</v>
      </c>
      <c r="B29" s="3" t="s">
        <v>119</v>
      </c>
      <c r="C29" s="4">
        <v>1</v>
      </c>
      <c r="D29" s="4" t="s">
        <v>120</v>
      </c>
      <c r="E29" s="3" t="s">
        <v>121</v>
      </c>
      <c r="F29" s="3" t="s">
        <v>16</v>
      </c>
      <c r="G29" s="3" t="s">
        <v>16</v>
      </c>
      <c r="H29" s="3" t="s">
        <v>1375</v>
      </c>
      <c r="I29" s="4" t="s">
        <v>21</v>
      </c>
      <c r="J29" s="7">
        <v>68895</v>
      </c>
      <c r="K29" s="8">
        <v>138195</v>
      </c>
      <c r="L29" s="8">
        <v>15760</v>
      </c>
      <c r="M29" s="8">
        <v>2605</v>
      </c>
      <c r="N29" s="11">
        <v>0</v>
      </c>
      <c r="O29" s="12"/>
      <c r="P29" t="s">
        <v>1359</v>
      </c>
      <c r="R29" s="53" t="s">
        <v>1362</v>
      </c>
      <c r="S29" s="54">
        <v>54</v>
      </c>
      <c r="T29" s="53" t="s">
        <v>1363</v>
      </c>
      <c r="U29" s="54">
        <v>31</v>
      </c>
    </row>
    <row r="30" spans="1:21" ht="54.75" hidden="1" customHeight="1" x14ac:dyDescent="0.25">
      <c r="A30" s="2" t="s">
        <v>122</v>
      </c>
      <c r="B30" s="3" t="s">
        <v>123</v>
      </c>
      <c r="C30" s="4">
        <v>1</v>
      </c>
      <c r="D30" s="4" t="s">
        <v>124</v>
      </c>
      <c r="E30" s="3" t="s">
        <v>125</v>
      </c>
      <c r="F30" s="3" t="s">
        <v>29</v>
      </c>
      <c r="G30" s="3" t="s">
        <v>29</v>
      </c>
      <c r="H30" s="3" t="s">
        <v>1375</v>
      </c>
      <c r="I30" s="4" t="s">
        <v>21</v>
      </c>
      <c r="J30" s="7">
        <v>63183</v>
      </c>
      <c r="K30" s="8">
        <v>111894</v>
      </c>
      <c r="L30" s="8">
        <v>13094</v>
      </c>
      <c r="M30" s="8">
        <v>3800</v>
      </c>
      <c r="N30" s="11">
        <v>0</v>
      </c>
      <c r="O30" s="12"/>
      <c r="P30" s="2" t="s">
        <v>1361</v>
      </c>
      <c r="Q30" s="52">
        <v>732</v>
      </c>
      <c r="R30" s="53" t="s">
        <v>1362</v>
      </c>
      <c r="S30" s="54">
        <v>54</v>
      </c>
      <c r="T30" s="53" t="s">
        <v>1363</v>
      </c>
      <c r="U30" s="54">
        <v>31</v>
      </c>
    </row>
    <row r="31" spans="1:21" ht="54.75" hidden="1" customHeight="1" x14ac:dyDescent="0.25">
      <c r="A31" s="2" t="s">
        <v>126</v>
      </c>
      <c r="B31" s="3" t="s">
        <v>127</v>
      </c>
      <c r="C31" s="4">
        <v>2</v>
      </c>
      <c r="D31" s="4" t="s">
        <v>128</v>
      </c>
      <c r="E31" s="3" t="s">
        <v>129</v>
      </c>
      <c r="F31" s="3" t="s">
        <v>35</v>
      </c>
      <c r="G31" s="3" t="s">
        <v>35</v>
      </c>
      <c r="H31" s="3" t="s">
        <v>1375</v>
      </c>
      <c r="I31" s="4" t="s">
        <v>21</v>
      </c>
      <c r="J31" s="7">
        <v>60670</v>
      </c>
      <c r="K31" s="8">
        <v>80027</v>
      </c>
      <c r="L31" s="8">
        <v>10277</v>
      </c>
      <c r="M31" s="8">
        <v>4650</v>
      </c>
      <c r="N31" s="11">
        <v>0</v>
      </c>
      <c r="O31" s="12"/>
      <c r="P31" s="2" t="s">
        <v>1358</v>
      </c>
      <c r="Q31" s="52">
        <v>772</v>
      </c>
      <c r="R31" s="53" t="s">
        <v>1362</v>
      </c>
      <c r="S31" s="54">
        <v>54</v>
      </c>
      <c r="T31" s="53" t="s">
        <v>1363</v>
      </c>
      <c r="U31" s="54">
        <v>31</v>
      </c>
    </row>
    <row r="32" spans="1:21" ht="54.75" hidden="1" customHeight="1" x14ac:dyDescent="0.25">
      <c r="A32" s="2" t="s">
        <v>130</v>
      </c>
      <c r="B32" s="3" t="s">
        <v>127</v>
      </c>
      <c r="C32" s="4">
        <v>2</v>
      </c>
      <c r="D32" s="4" t="s">
        <v>128</v>
      </c>
      <c r="E32" s="3" t="s">
        <v>129</v>
      </c>
      <c r="F32" s="3" t="s">
        <v>35</v>
      </c>
      <c r="G32" s="3" t="s">
        <v>35</v>
      </c>
      <c r="H32" s="3" t="s">
        <v>1375</v>
      </c>
      <c r="I32" s="4" t="s">
        <v>21</v>
      </c>
      <c r="J32" s="7">
        <v>60670</v>
      </c>
      <c r="K32" s="8">
        <v>79699</v>
      </c>
      <c r="L32" s="8">
        <v>9949</v>
      </c>
      <c r="M32" s="8">
        <v>4650</v>
      </c>
      <c r="N32" s="11">
        <v>0</v>
      </c>
      <c r="O32" s="12"/>
      <c r="P32" s="2" t="s">
        <v>1358</v>
      </c>
      <c r="Q32" s="52">
        <v>772</v>
      </c>
      <c r="R32" s="53" t="s">
        <v>1362</v>
      </c>
      <c r="S32" s="54">
        <v>54</v>
      </c>
      <c r="T32" s="53" t="s">
        <v>1363</v>
      </c>
      <c r="U32" s="54">
        <v>31</v>
      </c>
    </row>
    <row r="33" spans="1:21" ht="54.75" hidden="1" customHeight="1" x14ac:dyDescent="0.25">
      <c r="A33" s="2" t="s">
        <v>131</v>
      </c>
      <c r="B33" s="3" t="s">
        <v>132</v>
      </c>
      <c r="C33" s="4">
        <v>1</v>
      </c>
      <c r="D33" s="4" t="s">
        <v>133</v>
      </c>
      <c r="E33" s="3" t="s">
        <v>134</v>
      </c>
      <c r="F33" s="3" t="s">
        <v>29</v>
      </c>
      <c r="G33" s="3" t="s">
        <v>29</v>
      </c>
      <c r="H33" s="3" t="s">
        <v>1375</v>
      </c>
      <c r="I33" s="4" t="s">
        <v>21</v>
      </c>
      <c r="J33" s="7">
        <v>60646</v>
      </c>
      <c r="K33" s="8">
        <v>93487</v>
      </c>
      <c r="L33" s="8">
        <v>7387</v>
      </c>
      <c r="M33" s="8">
        <v>2100</v>
      </c>
      <c r="N33" s="11">
        <v>0</v>
      </c>
      <c r="O33" s="12"/>
      <c r="P33" s="2" t="s">
        <v>1358</v>
      </c>
      <c r="Q33" s="52">
        <v>772</v>
      </c>
      <c r="R33" s="53" t="s">
        <v>1362</v>
      </c>
      <c r="S33" s="54">
        <v>54</v>
      </c>
      <c r="T33" s="53" t="s">
        <v>1363</v>
      </c>
      <c r="U33" s="54">
        <v>31</v>
      </c>
    </row>
    <row r="34" spans="1:21" ht="54.75" hidden="1" customHeight="1" x14ac:dyDescent="0.25">
      <c r="A34" s="2" t="s">
        <v>135</v>
      </c>
      <c r="B34" s="3" t="s">
        <v>136</v>
      </c>
      <c r="C34" s="4">
        <v>1</v>
      </c>
      <c r="D34" s="4" t="s">
        <v>137</v>
      </c>
      <c r="E34" s="3" t="s">
        <v>138</v>
      </c>
      <c r="F34" s="3" t="s">
        <v>40</v>
      </c>
      <c r="G34" s="3" t="s">
        <v>139</v>
      </c>
      <c r="H34" s="3" t="s">
        <v>1375</v>
      </c>
      <c r="I34" s="4" t="s">
        <v>21</v>
      </c>
      <c r="J34" s="7">
        <v>60385</v>
      </c>
      <c r="K34" s="8">
        <v>91152</v>
      </c>
      <c r="L34" s="8">
        <v>5152</v>
      </c>
      <c r="M34" s="8">
        <v>2150</v>
      </c>
      <c r="N34" s="11">
        <v>3000</v>
      </c>
      <c r="O34" s="12">
        <v>45942</v>
      </c>
      <c r="P34" s="2" t="s">
        <v>1360</v>
      </c>
      <c r="Q34" s="52">
        <v>763</v>
      </c>
      <c r="R34" s="53" t="s">
        <v>1362</v>
      </c>
      <c r="S34" s="54">
        <v>54</v>
      </c>
      <c r="T34" s="53" t="s">
        <v>1363</v>
      </c>
      <c r="U34" s="54">
        <v>31</v>
      </c>
    </row>
    <row r="35" spans="1:21" ht="54.75" customHeight="1" x14ac:dyDescent="0.25">
      <c r="A35" s="2" t="s">
        <v>140</v>
      </c>
      <c r="B35" s="3" t="s">
        <v>141</v>
      </c>
      <c r="C35" s="4">
        <v>1</v>
      </c>
      <c r="D35" s="4" t="s">
        <v>142</v>
      </c>
      <c r="E35" s="3" t="s">
        <v>143</v>
      </c>
      <c r="F35" s="3" t="s">
        <v>11</v>
      </c>
      <c r="G35" s="3" t="s">
        <v>11</v>
      </c>
      <c r="H35" s="3" t="s">
        <v>1381</v>
      </c>
      <c r="I35" s="4" t="s">
        <v>21</v>
      </c>
      <c r="J35" s="7">
        <v>59905</v>
      </c>
      <c r="K35" s="8">
        <v>92546</v>
      </c>
      <c r="L35" s="8">
        <v>45627</v>
      </c>
      <c r="M35" s="8">
        <v>5215</v>
      </c>
      <c r="N35" s="11">
        <v>0</v>
      </c>
      <c r="O35" s="12"/>
      <c r="P35" t="s">
        <v>1359</v>
      </c>
      <c r="R35" s="53" t="s">
        <v>1362</v>
      </c>
      <c r="S35" s="54">
        <v>54</v>
      </c>
      <c r="T35" s="53" t="s">
        <v>1363</v>
      </c>
      <c r="U35" s="54">
        <v>31</v>
      </c>
    </row>
    <row r="36" spans="1:21" ht="54.75" hidden="1" customHeight="1" x14ac:dyDescent="0.25">
      <c r="A36" s="2" t="s">
        <v>144</v>
      </c>
      <c r="B36" s="3" t="s">
        <v>145</v>
      </c>
      <c r="C36" s="4">
        <v>1</v>
      </c>
      <c r="D36" s="4" t="s">
        <v>146</v>
      </c>
      <c r="E36" s="3" t="s">
        <v>147</v>
      </c>
      <c r="F36" s="3" t="s">
        <v>43</v>
      </c>
      <c r="G36" s="3" t="s">
        <v>43</v>
      </c>
      <c r="H36" s="3" t="s">
        <v>1375</v>
      </c>
      <c r="I36" s="4" t="s">
        <v>21</v>
      </c>
      <c r="J36" s="7">
        <v>54040</v>
      </c>
      <c r="K36" s="8">
        <v>113372</v>
      </c>
      <c r="L36" s="8">
        <v>14372</v>
      </c>
      <c r="M36" s="8">
        <v>1980</v>
      </c>
      <c r="N36" s="11">
        <v>0</v>
      </c>
      <c r="O36" s="12"/>
      <c r="P36" s="2" t="s">
        <v>1361</v>
      </c>
      <c r="Q36" s="52">
        <v>732</v>
      </c>
      <c r="R36" s="53" t="s">
        <v>1362</v>
      </c>
      <c r="S36" s="54">
        <v>54</v>
      </c>
      <c r="T36" s="53" t="s">
        <v>1363</v>
      </c>
      <c r="U36" s="54">
        <v>31</v>
      </c>
    </row>
    <row r="37" spans="1:21" ht="54.75" hidden="1" customHeight="1" x14ac:dyDescent="0.25">
      <c r="A37" s="2" t="s">
        <v>148</v>
      </c>
      <c r="B37" s="3" t="s">
        <v>149</v>
      </c>
      <c r="C37" s="4">
        <v>1</v>
      </c>
      <c r="D37" s="4" t="s">
        <v>150</v>
      </c>
      <c r="E37" s="3" t="s">
        <v>151</v>
      </c>
      <c r="F37" s="3" t="s">
        <v>35</v>
      </c>
      <c r="G37" s="3" t="s">
        <v>35</v>
      </c>
      <c r="H37" s="3" t="s">
        <v>1375</v>
      </c>
      <c r="I37" s="4" t="s">
        <v>21</v>
      </c>
      <c r="J37" s="7">
        <v>53635</v>
      </c>
      <c r="K37" s="8">
        <v>68140</v>
      </c>
      <c r="L37" s="8">
        <v>14660</v>
      </c>
      <c r="M37" s="8">
        <v>6685</v>
      </c>
      <c r="N37" s="11">
        <v>0</v>
      </c>
      <c r="O37" s="12"/>
      <c r="P37" s="2" t="s">
        <v>1361</v>
      </c>
      <c r="Q37" s="52">
        <v>732</v>
      </c>
      <c r="R37" s="53" t="s">
        <v>1362</v>
      </c>
      <c r="S37" s="54">
        <v>54</v>
      </c>
      <c r="T37" s="53" t="s">
        <v>1363</v>
      </c>
      <c r="U37" s="54">
        <v>31</v>
      </c>
    </row>
    <row r="38" spans="1:21" ht="54.75" hidden="1" customHeight="1" x14ac:dyDescent="0.25">
      <c r="A38" s="2" t="s">
        <v>152</v>
      </c>
      <c r="B38" s="3" t="s">
        <v>153</v>
      </c>
      <c r="C38" s="4">
        <v>2</v>
      </c>
      <c r="D38" s="4" t="s">
        <v>154</v>
      </c>
      <c r="E38" s="3" t="s">
        <v>155</v>
      </c>
      <c r="F38" s="3" t="s">
        <v>29</v>
      </c>
      <c r="G38" s="3" t="s">
        <v>29</v>
      </c>
      <c r="H38" s="3" t="s">
        <v>1375</v>
      </c>
      <c r="I38" s="4" t="s">
        <v>21</v>
      </c>
      <c r="J38" s="7">
        <v>53070</v>
      </c>
      <c r="K38" s="8">
        <v>93562</v>
      </c>
      <c r="L38" s="8">
        <v>15322</v>
      </c>
      <c r="M38" s="8">
        <v>3260</v>
      </c>
      <c r="N38" s="11">
        <v>0</v>
      </c>
      <c r="O38" s="12"/>
      <c r="P38" s="2" t="s">
        <v>1361</v>
      </c>
      <c r="Q38" s="52">
        <v>732</v>
      </c>
      <c r="R38" s="53" t="s">
        <v>1362</v>
      </c>
      <c r="S38" s="54">
        <v>54</v>
      </c>
      <c r="T38" s="53" t="s">
        <v>1363</v>
      </c>
      <c r="U38" s="54">
        <v>31</v>
      </c>
    </row>
    <row r="39" spans="1:21" ht="54.75" hidden="1" customHeight="1" x14ac:dyDescent="0.25">
      <c r="A39" s="2" t="s">
        <v>156</v>
      </c>
      <c r="B39" s="3" t="s">
        <v>153</v>
      </c>
      <c r="C39" s="4">
        <v>2</v>
      </c>
      <c r="D39" s="4" t="s">
        <v>154</v>
      </c>
      <c r="E39" s="3" t="s">
        <v>155</v>
      </c>
      <c r="F39" s="3" t="s">
        <v>29</v>
      </c>
      <c r="G39" s="3" t="s">
        <v>29</v>
      </c>
      <c r="H39" s="3" t="s">
        <v>1375</v>
      </c>
      <c r="I39" s="4" t="s">
        <v>21</v>
      </c>
      <c r="J39" s="7">
        <v>53070</v>
      </c>
      <c r="K39" s="8">
        <v>93499</v>
      </c>
      <c r="L39" s="8">
        <v>15259</v>
      </c>
      <c r="M39" s="8">
        <v>3260</v>
      </c>
      <c r="N39" s="11">
        <v>0</v>
      </c>
      <c r="O39" s="12"/>
      <c r="P39" s="2" t="s">
        <v>1361</v>
      </c>
      <c r="Q39" s="52">
        <v>732</v>
      </c>
      <c r="R39" s="53" t="s">
        <v>1362</v>
      </c>
      <c r="S39" s="54">
        <v>54</v>
      </c>
      <c r="T39" s="53" t="s">
        <v>1363</v>
      </c>
      <c r="U39" s="54">
        <v>31</v>
      </c>
    </row>
    <row r="40" spans="1:21" ht="54.75" hidden="1" customHeight="1" x14ac:dyDescent="0.25">
      <c r="A40" s="2" t="s">
        <v>157</v>
      </c>
      <c r="B40" s="3" t="s">
        <v>158</v>
      </c>
      <c r="C40" s="4">
        <v>1</v>
      </c>
      <c r="D40" s="4" t="s">
        <v>159</v>
      </c>
      <c r="E40" s="3" t="s">
        <v>160</v>
      </c>
      <c r="F40" s="3" t="s">
        <v>16</v>
      </c>
      <c r="G40" s="3" t="s">
        <v>16</v>
      </c>
      <c r="H40" s="3" t="s">
        <v>1375</v>
      </c>
      <c r="I40" s="4" t="s">
        <v>21</v>
      </c>
      <c r="J40" s="7">
        <v>53070</v>
      </c>
      <c r="K40" s="8">
        <v>92478</v>
      </c>
      <c r="L40" s="8">
        <v>17498</v>
      </c>
      <c r="M40" s="8">
        <v>3260</v>
      </c>
      <c r="N40" s="11">
        <v>0</v>
      </c>
      <c r="O40" s="12"/>
      <c r="P40" s="2" t="s">
        <v>1358</v>
      </c>
      <c r="Q40" s="52">
        <v>772</v>
      </c>
      <c r="R40" s="53" t="s">
        <v>1362</v>
      </c>
      <c r="S40" s="54">
        <v>54</v>
      </c>
      <c r="T40" s="53" t="s">
        <v>1363</v>
      </c>
      <c r="U40" s="54">
        <v>31</v>
      </c>
    </row>
    <row r="41" spans="1:21" ht="54.75" hidden="1" customHeight="1" x14ac:dyDescent="0.25">
      <c r="A41" s="2" t="s">
        <v>161</v>
      </c>
      <c r="B41" s="3" t="s">
        <v>162</v>
      </c>
      <c r="C41" s="4">
        <v>2</v>
      </c>
      <c r="D41" s="4" t="s">
        <v>163</v>
      </c>
      <c r="E41" s="3" t="s">
        <v>164</v>
      </c>
      <c r="F41" s="3" t="s">
        <v>40</v>
      </c>
      <c r="G41" s="3" t="s">
        <v>40</v>
      </c>
      <c r="H41" s="3" t="s">
        <v>1375</v>
      </c>
      <c r="I41" s="4" t="s">
        <v>21</v>
      </c>
      <c r="J41" s="7">
        <v>52730</v>
      </c>
      <c r="K41" s="8">
        <v>71798</v>
      </c>
      <c r="L41" s="8">
        <v>18298</v>
      </c>
      <c r="M41" s="8">
        <v>5350</v>
      </c>
      <c r="N41" s="11">
        <v>0</v>
      </c>
      <c r="O41" s="12"/>
      <c r="P41" s="2" t="s">
        <v>1361</v>
      </c>
      <c r="Q41" s="52">
        <v>732</v>
      </c>
      <c r="R41" s="53" t="s">
        <v>1362</v>
      </c>
      <c r="S41" s="54">
        <v>54</v>
      </c>
      <c r="T41" s="53" t="s">
        <v>1363</v>
      </c>
      <c r="U41" s="54">
        <v>31</v>
      </c>
    </row>
    <row r="42" spans="1:21" ht="54.75" customHeight="1" x14ac:dyDescent="0.25">
      <c r="A42" s="2" t="s">
        <v>165</v>
      </c>
      <c r="B42" s="3" t="s">
        <v>166</v>
      </c>
      <c r="C42" s="4">
        <v>2</v>
      </c>
      <c r="D42" s="4" t="s">
        <v>167</v>
      </c>
      <c r="E42" s="3" t="s">
        <v>168</v>
      </c>
      <c r="F42" s="3" t="s">
        <v>16</v>
      </c>
      <c r="G42" s="3" t="s">
        <v>16</v>
      </c>
      <c r="H42" s="3" t="s">
        <v>1375</v>
      </c>
      <c r="I42" s="4" t="s">
        <v>21</v>
      </c>
      <c r="J42" s="7">
        <v>51350</v>
      </c>
      <c r="K42" s="8">
        <v>73370</v>
      </c>
      <c r="L42" s="8">
        <v>26570</v>
      </c>
      <c r="M42" s="8">
        <v>4680</v>
      </c>
      <c r="N42" s="11">
        <v>0</v>
      </c>
      <c r="O42" s="12"/>
      <c r="P42" t="s">
        <v>1359</v>
      </c>
      <c r="R42" s="53" t="s">
        <v>1362</v>
      </c>
      <c r="S42" s="54">
        <v>54</v>
      </c>
      <c r="T42" s="53" t="s">
        <v>1363</v>
      </c>
      <c r="U42" s="54">
        <v>31</v>
      </c>
    </row>
    <row r="43" spans="1:21" ht="54.75" hidden="1" customHeight="1" x14ac:dyDescent="0.25">
      <c r="A43" s="2" t="s">
        <v>169</v>
      </c>
      <c r="B43" s="3" t="s">
        <v>170</v>
      </c>
      <c r="C43" s="4">
        <v>1</v>
      </c>
      <c r="D43" s="4" t="s">
        <v>171</v>
      </c>
      <c r="E43" s="3" t="s">
        <v>172</v>
      </c>
      <c r="F43" s="3" t="s">
        <v>16</v>
      </c>
      <c r="G43" s="3" t="s">
        <v>16</v>
      </c>
      <c r="H43" s="3" t="s">
        <v>1375</v>
      </c>
      <c r="I43" s="4" t="s">
        <v>21</v>
      </c>
      <c r="J43" s="7">
        <v>51270</v>
      </c>
      <c r="K43" s="8">
        <v>95547</v>
      </c>
      <c r="L43" s="8">
        <v>17807</v>
      </c>
      <c r="M43" s="8">
        <v>2990</v>
      </c>
      <c r="N43" s="11">
        <v>0</v>
      </c>
      <c r="O43" s="12"/>
      <c r="P43" s="2" t="s">
        <v>1360</v>
      </c>
      <c r="Q43" s="52">
        <v>763</v>
      </c>
      <c r="R43" s="53" t="s">
        <v>1362</v>
      </c>
      <c r="S43" s="54">
        <v>54</v>
      </c>
      <c r="T43" s="53" t="s">
        <v>1363</v>
      </c>
      <c r="U43" s="54">
        <v>31</v>
      </c>
    </row>
    <row r="44" spans="1:21" ht="54.75" customHeight="1" x14ac:dyDescent="0.25">
      <c r="A44" s="2" t="s">
        <v>173</v>
      </c>
      <c r="B44" s="3" t="s">
        <v>174</v>
      </c>
      <c r="C44" s="4">
        <v>1</v>
      </c>
      <c r="D44" s="4" t="s">
        <v>175</v>
      </c>
      <c r="E44" s="3" t="s">
        <v>176</v>
      </c>
      <c r="F44" s="3" t="s">
        <v>43</v>
      </c>
      <c r="G44" s="3" t="s">
        <v>16</v>
      </c>
      <c r="H44" s="3" t="s">
        <v>1375</v>
      </c>
      <c r="I44" s="4" t="s">
        <v>21</v>
      </c>
      <c r="J44" s="7">
        <v>51210</v>
      </c>
      <c r="K44" s="8">
        <v>71458</v>
      </c>
      <c r="L44" s="8">
        <v>38338</v>
      </c>
      <c r="M44" s="8">
        <v>5520</v>
      </c>
      <c r="N44" s="11">
        <v>5000</v>
      </c>
      <c r="O44" s="12">
        <v>45947</v>
      </c>
      <c r="P44" t="s">
        <v>1359</v>
      </c>
      <c r="R44" s="53" t="s">
        <v>1362</v>
      </c>
      <c r="S44" s="54">
        <v>54</v>
      </c>
      <c r="T44" s="53" t="s">
        <v>1363</v>
      </c>
      <c r="U44" s="54">
        <v>31</v>
      </c>
    </row>
    <row r="45" spans="1:21" ht="54.75" hidden="1" customHeight="1" x14ac:dyDescent="0.25">
      <c r="A45" s="2" t="s">
        <v>177</v>
      </c>
      <c r="B45" s="3" t="s">
        <v>178</v>
      </c>
      <c r="C45" s="4">
        <v>2</v>
      </c>
      <c r="D45" s="4" t="s">
        <v>179</v>
      </c>
      <c r="E45" s="3" t="s">
        <v>180</v>
      </c>
      <c r="F45" s="3" t="s">
        <v>43</v>
      </c>
      <c r="G45" s="3" t="s">
        <v>41</v>
      </c>
      <c r="H45" s="3" t="s">
        <v>1375</v>
      </c>
      <c r="I45" s="4" t="s">
        <v>21</v>
      </c>
      <c r="J45" s="7">
        <v>50955</v>
      </c>
      <c r="K45" s="8">
        <v>89276</v>
      </c>
      <c r="L45" s="8">
        <v>24076</v>
      </c>
      <c r="M45" s="8">
        <v>3260</v>
      </c>
      <c r="N45" s="11">
        <v>23675</v>
      </c>
      <c r="O45" s="12">
        <v>45961</v>
      </c>
      <c r="P45" s="2" t="s">
        <v>1361</v>
      </c>
      <c r="Q45" s="52">
        <v>732</v>
      </c>
      <c r="R45" s="53" t="s">
        <v>1362</v>
      </c>
      <c r="S45" s="54">
        <v>54</v>
      </c>
      <c r="T45" s="53" t="s">
        <v>1363</v>
      </c>
      <c r="U45" s="54">
        <v>31</v>
      </c>
    </row>
    <row r="46" spans="1:21" ht="54.75" hidden="1" customHeight="1" x14ac:dyDescent="0.25">
      <c r="A46" s="2" t="s">
        <v>181</v>
      </c>
      <c r="B46" s="3" t="s">
        <v>182</v>
      </c>
      <c r="C46" s="4">
        <v>1</v>
      </c>
      <c r="D46" s="4" t="s">
        <v>183</v>
      </c>
      <c r="E46" s="3" t="s">
        <v>184</v>
      </c>
      <c r="F46" s="3" t="s">
        <v>43</v>
      </c>
      <c r="G46" s="3" t="s">
        <v>29</v>
      </c>
      <c r="H46" s="3" t="s">
        <v>1375</v>
      </c>
      <c r="I46" s="4" t="s">
        <v>21</v>
      </c>
      <c r="J46" s="7">
        <v>49266</v>
      </c>
      <c r="K46" s="8">
        <v>60443</v>
      </c>
      <c r="L46" s="8">
        <v>34768</v>
      </c>
      <c r="M46" s="8">
        <v>5135</v>
      </c>
      <c r="N46" s="11">
        <v>16000</v>
      </c>
      <c r="O46" s="12">
        <v>45949</v>
      </c>
      <c r="P46" s="2" t="s">
        <v>1361</v>
      </c>
      <c r="Q46" s="52">
        <v>732</v>
      </c>
      <c r="R46" s="53" t="s">
        <v>1362</v>
      </c>
      <c r="S46" s="54">
        <v>54</v>
      </c>
      <c r="T46" s="53" t="s">
        <v>1363</v>
      </c>
      <c r="U46" s="54">
        <v>31</v>
      </c>
    </row>
    <row r="47" spans="1:21" ht="54.75" hidden="1" customHeight="1" x14ac:dyDescent="0.25">
      <c r="A47" s="2" t="s">
        <v>185</v>
      </c>
      <c r="B47" s="3" t="s">
        <v>186</v>
      </c>
      <c r="C47" s="4">
        <v>1</v>
      </c>
      <c r="D47" s="4" t="s">
        <v>187</v>
      </c>
      <c r="E47" s="3" t="s">
        <v>188</v>
      </c>
      <c r="F47" s="3" t="s">
        <v>11</v>
      </c>
      <c r="G47" s="3" t="s">
        <v>11</v>
      </c>
      <c r="H47" s="3" t="s">
        <v>1381</v>
      </c>
      <c r="I47" s="4" t="s">
        <v>21</v>
      </c>
      <c r="J47" s="7">
        <v>48386</v>
      </c>
      <c r="K47" s="8">
        <v>70520</v>
      </c>
      <c r="L47" s="8">
        <v>23240</v>
      </c>
      <c r="M47" s="8">
        <v>2955</v>
      </c>
      <c r="N47" s="11">
        <v>0</v>
      </c>
      <c r="O47" s="12"/>
      <c r="P47" s="2" t="s">
        <v>1358</v>
      </c>
      <c r="Q47" s="52">
        <v>772</v>
      </c>
      <c r="R47" s="53" t="s">
        <v>1362</v>
      </c>
      <c r="S47" s="54">
        <v>54</v>
      </c>
      <c r="T47" s="53" t="s">
        <v>1363</v>
      </c>
      <c r="U47" s="54">
        <v>31</v>
      </c>
    </row>
    <row r="48" spans="1:21" ht="54.75" hidden="1" customHeight="1" x14ac:dyDescent="0.25">
      <c r="A48" s="2" t="s">
        <v>189</v>
      </c>
      <c r="B48" s="3" t="s">
        <v>190</v>
      </c>
      <c r="C48" s="4">
        <v>2</v>
      </c>
      <c r="D48" s="4" t="s">
        <v>191</v>
      </c>
      <c r="E48" s="3" t="s">
        <v>192</v>
      </c>
      <c r="F48" s="3" t="s">
        <v>40</v>
      </c>
      <c r="G48" s="3" t="s">
        <v>35</v>
      </c>
      <c r="H48" s="3" t="s">
        <v>1375</v>
      </c>
      <c r="I48" s="4" t="s">
        <v>21</v>
      </c>
      <c r="J48" s="7">
        <v>48015</v>
      </c>
      <c r="K48" s="8">
        <v>69136</v>
      </c>
      <c r="L48" s="8">
        <v>11776</v>
      </c>
      <c r="M48" s="8">
        <v>3585</v>
      </c>
      <c r="N48" s="11">
        <v>3853</v>
      </c>
      <c r="O48" s="12">
        <v>45947</v>
      </c>
      <c r="P48" s="2" t="s">
        <v>1358</v>
      </c>
      <c r="Q48" s="52">
        <v>772</v>
      </c>
      <c r="R48" s="53" t="s">
        <v>1362</v>
      </c>
      <c r="S48" s="54">
        <v>54</v>
      </c>
      <c r="T48" s="53" t="s">
        <v>1363</v>
      </c>
      <c r="U48" s="54">
        <v>31</v>
      </c>
    </row>
    <row r="49" spans="1:21" ht="54.75" hidden="1" customHeight="1" x14ac:dyDescent="0.25">
      <c r="A49" s="2" t="s">
        <v>193</v>
      </c>
      <c r="B49" s="3" t="s">
        <v>194</v>
      </c>
      <c r="C49" s="4">
        <v>2</v>
      </c>
      <c r="D49" s="4" t="s">
        <v>195</v>
      </c>
      <c r="E49" s="3" t="s">
        <v>196</v>
      </c>
      <c r="F49" s="3" t="s">
        <v>11</v>
      </c>
      <c r="G49" s="3" t="s">
        <v>11</v>
      </c>
      <c r="H49" s="3" t="s">
        <v>1381</v>
      </c>
      <c r="I49" s="4" t="s">
        <v>21</v>
      </c>
      <c r="J49" s="7">
        <v>47345</v>
      </c>
      <c r="K49" s="8">
        <v>91258</v>
      </c>
      <c r="L49" s="8">
        <v>23258</v>
      </c>
      <c r="M49" s="8">
        <v>2720</v>
      </c>
      <c r="N49" s="11">
        <v>0</v>
      </c>
      <c r="O49" s="12"/>
      <c r="P49" s="2" t="s">
        <v>1361</v>
      </c>
      <c r="Q49" s="52">
        <v>732</v>
      </c>
      <c r="R49" s="53" t="s">
        <v>1362</v>
      </c>
      <c r="S49" s="54">
        <v>54</v>
      </c>
      <c r="T49" s="53" t="s">
        <v>1363</v>
      </c>
      <c r="U49" s="54">
        <v>31</v>
      </c>
    </row>
    <row r="50" spans="1:21" ht="54.75" hidden="1" customHeight="1" x14ac:dyDescent="0.25">
      <c r="A50" s="2" t="s">
        <v>197</v>
      </c>
      <c r="B50" s="3" t="s">
        <v>198</v>
      </c>
      <c r="C50" s="4">
        <v>1</v>
      </c>
      <c r="D50" s="4" t="s">
        <v>199</v>
      </c>
      <c r="E50" s="3" t="s">
        <v>200</v>
      </c>
      <c r="F50" s="3" t="s">
        <v>16</v>
      </c>
      <c r="G50" s="3" t="s">
        <v>16</v>
      </c>
      <c r="H50" s="3" t="s">
        <v>1375</v>
      </c>
      <c r="I50" s="4" t="s">
        <v>21</v>
      </c>
      <c r="J50" s="7">
        <v>47250</v>
      </c>
      <c r="K50" s="8">
        <v>62777</v>
      </c>
      <c r="L50" s="8">
        <v>37097</v>
      </c>
      <c r="M50" s="8">
        <v>6420</v>
      </c>
      <c r="N50" s="11">
        <v>0</v>
      </c>
      <c r="O50" s="12"/>
      <c r="P50" s="2" t="s">
        <v>1360</v>
      </c>
      <c r="Q50" s="52">
        <v>763</v>
      </c>
      <c r="R50" s="53" t="s">
        <v>1362</v>
      </c>
      <c r="S50" s="54">
        <v>54</v>
      </c>
      <c r="T50" s="53" t="s">
        <v>1363</v>
      </c>
      <c r="U50" s="54">
        <v>31</v>
      </c>
    </row>
    <row r="51" spans="1:21" ht="54.75" customHeight="1" x14ac:dyDescent="0.25">
      <c r="A51" s="2" t="s">
        <v>201</v>
      </c>
      <c r="B51" s="3" t="s">
        <v>202</v>
      </c>
      <c r="C51" s="4">
        <v>3</v>
      </c>
      <c r="D51" s="4" t="s">
        <v>203</v>
      </c>
      <c r="E51" s="3" t="s">
        <v>204</v>
      </c>
      <c r="F51" s="3" t="s">
        <v>11</v>
      </c>
      <c r="G51" s="3" t="s">
        <v>11</v>
      </c>
      <c r="H51" s="3" t="s">
        <v>1381</v>
      </c>
      <c r="I51" s="4" t="s">
        <v>21</v>
      </c>
      <c r="J51" s="7">
        <v>46695</v>
      </c>
      <c r="K51" s="8">
        <v>76748</v>
      </c>
      <c r="L51" s="8">
        <v>27548</v>
      </c>
      <c r="M51" s="8">
        <v>3075</v>
      </c>
      <c r="N51" s="11">
        <v>0</v>
      </c>
      <c r="O51" s="12"/>
      <c r="P51" t="s">
        <v>1359</v>
      </c>
      <c r="R51" s="53" t="s">
        <v>1362</v>
      </c>
      <c r="S51" s="54">
        <v>54</v>
      </c>
      <c r="T51" s="53" t="s">
        <v>1363</v>
      </c>
      <c r="U51" s="54">
        <v>31</v>
      </c>
    </row>
    <row r="52" spans="1:21" ht="54.75" customHeight="1" x14ac:dyDescent="0.25">
      <c r="A52" s="2" t="s">
        <v>205</v>
      </c>
      <c r="B52" s="3" t="s">
        <v>206</v>
      </c>
      <c r="C52" s="4">
        <v>1</v>
      </c>
      <c r="D52" s="4" t="s">
        <v>207</v>
      </c>
      <c r="E52" s="3" t="s">
        <v>208</v>
      </c>
      <c r="F52" s="3" t="s">
        <v>29</v>
      </c>
      <c r="G52" s="3" t="s">
        <v>29</v>
      </c>
      <c r="H52" s="3" t="s">
        <v>1375</v>
      </c>
      <c r="I52" s="4" t="s">
        <v>21</v>
      </c>
      <c r="J52" s="7">
        <v>45845</v>
      </c>
      <c r="K52" s="8">
        <v>83504</v>
      </c>
      <c r="L52" s="8">
        <v>12784</v>
      </c>
      <c r="M52" s="8">
        <v>2720</v>
      </c>
      <c r="N52" s="11">
        <v>0</v>
      </c>
      <c r="O52" s="12"/>
      <c r="P52" t="s">
        <v>1359</v>
      </c>
      <c r="R52" s="53" t="s">
        <v>1362</v>
      </c>
      <c r="S52" s="54">
        <v>54</v>
      </c>
      <c r="T52" s="53" t="s">
        <v>1363</v>
      </c>
      <c r="U52" s="54">
        <v>31</v>
      </c>
    </row>
    <row r="53" spans="1:21" ht="54.75" hidden="1" customHeight="1" x14ac:dyDescent="0.25">
      <c r="A53" s="2" t="s">
        <v>209</v>
      </c>
      <c r="B53" s="3" t="s">
        <v>210</v>
      </c>
      <c r="C53" s="4">
        <v>1</v>
      </c>
      <c r="D53" s="4" t="s">
        <v>211</v>
      </c>
      <c r="E53" s="3" t="s">
        <v>212</v>
      </c>
      <c r="F53" s="3" t="s">
        <v>29</v>
      </c>
      <c r="G53" s="3" t="s">
        <v>29</v>
      </c>
      <c r="H53" s="3" t="s">
        <v>1375</v>
      </c>
      <c r="I53" s="4" t="s">
        <v>21</v>
      </c>
      <c r="J53" s="7">
        <v>45585</v>
      </c>
      <c r="K53" s="8">
        <v>61329</v>
      </c>
      <c r="L53" s="8">
        <v>12429</v>
      </c>
      <c r="M53" s="8">
        <v>3260</v>
      </c>
      <c r="N53" s="11">
        <v>0</v>
      </c>
      <c r="O53" s="12"/>
      <c r="P53" s="2" t="s">
        <v>1361</v>
      </c>
      <c r="Q53" s="52">
        <v>732</v>
      </c>
      <c r="R53" s="53" t="s">
        <v>1362</v>
      </c>
      <c r="S53" s="54">
        <v>54</v>
      </c>
      <c r="T53" s="53" t="s">
        <v>1363</v>
      </c>
      <c r="U53" s="54">
        <v>31</v>
      </c>
    </row>
    <row r="54" spans="1:21" ht="54.75" hidden="1" customHeight="1" x14ac:dyDescent="0.25">
      <c r="A54" s="2" t="s">
        <v>213</v>
      </c>
      <c r="B54" s="3" t="s">
        <v>214</v>
      </c>
      <c r="C54" s="4">
        <v>1</v>
      </c>
      <c r="D54" s="4" t="s">
        <v>215</v>
      </c>
      <c r="E54" s="3" t="s">
        <v>216</v>
      </c>
      <c r="F54" s="3" t="s">
        <v>29</v>
      </c>
      <c r="G54" s="3" t="s">
        <v>35</v>
      </c>
      <c r="H54" s="3" t="s">
        <v>1375</v>
      </c>
      <c r="I54" s="4" t="s">
        <v>21</v>
      </c>
      <c r="J54" s="7">
        <v>42241</v>
      </c>
      <c r="K54" s="8">
        <v>65327</v>
      </c>
      <c r="L54" s="8">
        <v>5057</v>
      </c>
      <c r="M54" s="8">
        <v>1470</v>
      </c>
      <c r="N54" s="11">
        <v>2030</v>
      </c>
      <c r="O54" s="12">
        <v>45956</v>
      </c>
      <c r="P54" s="2" t="s">
        <v>1358</v>
      </c>
      <c r="Q54" s="52">
        <v>772</v>
      </c>
      <c r="R54" s="53" t="s">
        <v>1362</v>
      </c>
      <c r="S54" s="54">
        <v>54</v>
      </c>
      <c r="T54" s="53" t="s">
        <v>1363</v>
      </c>
      <c r="U54" s="54">
        <v>31</v>
      </c>
    </row>
    <row r="55" spans="1:21" ht="54.75" hidden="1" customHeight="1" x14ac:dyDescent="0.25">
      <c r="A55" s="2" t="s">
        <v>217</v>
      </c>
      <c r="B55" s="3" t="s">
        <v>218</v>
      </c>
      <c r="C55" s="4">
        <v>1</v>
      </c>
      <c r="D55" s="4" t="s">
        <v>219</v>
      </c>
      <c r="E55" s="3" t="s">
        <v>220</v>
      </c>
      <c r="F55" s="3" t="s">
        <v>11</v>
      </c>
      <c r="G55" s="3" t="s">
        <v>11</v>
      </c>
      <c r="H55" s="3" t="s">
        <v>1381</v>
      </c>
      <c r="I55" s="4" t="s">
        <v>21</v>
      </c>
      <c r="J55" s="7">
        <v>41545</v>
      </c>
      <c r="K55" s="8">
        <v>63107</v>
      </c>
      <c r="L55" s="8">
        <v>35177</v>
      </c>
      <c r="M55" s="8">
        <v>3990</v>
      </c>
      <c r="N55" s="11">
        <v>0</v>
      </c>
      <c r="O55" s="12"/>
      <c r="P55" s="2" t="s">
        <v>1360</v>
      </c>
      <c r="Q55" s="52">
        <v>763</v>
      </c>
      <c r="R55" s="53" t="s">
        <v>1362</v>
      </c>
      <c r="S55" s="54">
        <v>54</v>
      </c>
      <c r="T55" s="53" t="s">
        <v>1363</v>
      </c>
      <c r="U55" s="54">
        <v>31</v>
      </c>
    </row>
    <row r="56" spans="1:21" ht="54.75" customHeight="1" x14ac:dyDescent="0.25">
      <c r="A56" s="2" t="s">
        <v>221</v>
      </c>
      <c r="B56" s="3" t="s">
        <v>222</v>
      </c>
      <c r="C56" s="4">
        <v>1</v>
      </c>
      <c r="D56" s="4" t="s">
        <v>223</v>
      </c>
      <c r="E56" s="3" t="s">
        <v>224</v>
      </c>
      <c r="F56" s="3" t="s">
        <v>11</v>
      </c>
      <c r="G56" s="3" t="s">
        <v>11</v>
      </c>
      <c r="H56" s="3" t="s">
        <v>1381</v>
      </c>
      <c r="I56" s="4" t="s">
        <v>21</v>
      </c>
      <c r="J56" s="7">
        <v>41515</v>
      </c>
      <c r="K56" s="8">
        <v>71644</v>
      </c>
      <c r="L56" s="8">
        <v>22684</v>
      </c>
      <c r="M56" s="8">
        <v>2720</v>
      </c>
      <c r="N56" s="11">
        <v>0</v>
      </c>
      <c r="O56" s="12"/>
      <c r="P56" t="s">
        <v>1359</v>
      </c>
      <c r="R56" s="53" t="s">
        <v>1362</v>
      </c>
      <c r="S56" s="54">
        <v>54</v>
      </c>
      <c r="T56" s="53" t="s">
        <v>1363</v>
      </c>
      <c r="U56" s="54">
        <v>31</v>
      </c>
    </row>
    <row r="57" spans="1:21" ht="54.75" hidden="1" customHeight="1" x14ac:dyDescent="0.25">
      <c r="A57" s="2" t="s">
        <v>225</v>
      </c>
      <c r="B57" s="3" t="s">
        <v>226</v>
      </c>
      <c r="C57" s="4">
        <v>1</v>
      </c>
      <c r="D57" s="4" t="s">
        <v>227</v>
      </c>
      <c r="E57" s="3" t="s">
        <v>228</v>
      </c>
      <c r="F57" s="3" t="s">
        <v>29</v>
      </c>
      <c r="G57" s="3" t="s">
        <v>35</v>
      </c>
      <c r="H57" s="3" t="s">
        <v>1375</v>
      </c>
      <c r="I57" s="4" t="s">
        <v>21</v>
      </c>
      <c r="J57" s="7">
        <v>41267</v>
      </c>
      <c r="K57" s="8">
        <v>60958</v>
      </c>
      <c r="L57" s="8">
        <v>11552</v>
      </c>
      <c r="M57" s="8">
        <v>3295</v>
      </c>
      <c r="N57" s="11">
        <v>7350</v>
      </c>
      <c r="O57" s="12">
        <v>45960</v>
      </c>
      <c r="P57" s="2" t="s">
        <v>1361</v>
      </c>
      <c r="Q57" s="52">
        <v>732</v>
      </c>
      <c r="R57" s="53" t="s">
        <v>1362</v>
      </c>
      <c r="S57" s="54">
        <v>54</v>
      </c>
      <c r="T57" s="53" t="s">
        <v>1363</v>
      </c>
      <c r="U57" s="54">
        <v>31</v>
      </c>
    </row>
    <row r="58" spans="1:21" ht="54.75" hidden="1" customHeight="1" x14ac:dyDescent="0.25">
      <c r="A58" s="2" t="s">
        <v>229</v>
      </c>
      <c r="B58" s="3" t="s">
        <v>230</v>
      </c>
      <c r="C58" s="4">
        <v>1</v>
      </c>
      <c r="D58" s="4" t="s">
        <v>231</v>
      </c>
      <c r="E58" s="3" t="s">
        <v>232</v>
      </c>
      <c r="F58" s="3" t="s">
        <v>11</v>
      </c>
      <c r="G58" s="3" t="s">
        <v>11</v>
      </c>
      <c r="H58" s="3" t="s">
        <v>1381</v>
      </c>
      <c r="I58" s="4" t="s">
        <v>21</v>
      </c>
      <c r="J58" s="7">
        <v>41255</v>
      </c>
      <c r="K58" s="8">
        <v>75619</v>
      </c>
      <c r="L58" s="8">
        <v>19269</v>
      </c>
      <c r="M58" s="8">
        <v>2450</v>
      </c>
      <c r="N58" s="11">
        <v>0</v>
      </c>
      <c r="O58" s="12"/>
      <c r="P58" s="2" t="s">
        <v>1358</v>
      </c>
      <c r="Q58" s="52">
        <v>772</v>
      </c>
      <c r="R58" s="53" t="s">
        <v>1362</v>
      </c>
      <c r="S58" s="54">
        <v>54</v>
      </c>
      <c r="T58" s="53" t="s">
        <v>1363</v>
      </c>
      <c r="U58" s="54">
        <v>31</v>
      </c>
    </row>
    <row r="59" spans="1:21" ht="54.75" customHeight="1" x14ac:dyDescent="0.25">
      <c r="A59" s="2" t="s">
        <v>233</v>
      </c>
      <c r="B59" s="3" t="s">
        <v>234</v>
      </c>
      <c r="C59" s="4">
        <v>2</v>
      </c>
      <c r="D59" s="4" t="s">
        <v>235</v>
      </c>
      <c r="E59" s="3" t="s">
        <v>236</v>
      </c>
      <c r="F59" s="3" t="s">
        <v>43</v>
      </c>
      <c r="G59" s="3" t="s">
        <v>43</v>
      </c>
      <c r="H59" s="3" t="s">
        <v>1375</v>
      </c>
      <c r="I59" s="4" t="s">
        <v>21</v>
      </c>
      <c r="J59" s="7">
        <v>40535</v>
      </c>
      <c r="K59" s="8">
        <v>68120</v>
      </c>
      <c r="L59" s="8">
        <v>19160</v>
      </c>
      <c r="M59" s="8">
        <v>2720</v>
      </c>
      <c r="N59" s="11">
        <v>0</v>
      </c>
      <c r="O59" s="12"/>
      <c r="P59" t="s">
        <v>1359</v>
      </c>
      <c r="R59" s="53" t="s">
        <v>1362</v>
      </c>
      <c r="S59" s="54">
        <v>54</v>
      </c>
      <c r="T59" s="53" t="s">
        <v>1363</v>
      </c>
      <c r="U59" s="54">
        <v>31</v>
      </c>
    </row>
    <row r="60" spans="1:21" ht="54.75" hidden="1" customHeight="1" x14ac:dyDescent="0.25">
      <c r="A60" s="2" t="s">
        <v>237</v>
      </c>
      <c r="B60" s="3" t="s">
        <v>238</v>
      </c>
      <c r="C60" s="4">
        <v>2</v>
      </c>
      <c r="D60" s="4" t="s">
        <v>239</v>
      </c>
      <c r="E60" s="3" t="s">
        <v>240</v>
      </c>
      <c r="F60" s="3" t="s">
        <v>11</v>
      </c>
      <c r="G60" s="3" t="s">
        <v>11</v>
      </c>
      <c r="H60" s="3" t="s">
        <v>1381</v>
      </c>
      <c r="I60" s="4" t="s">
        <v>21</v>
      </c>
      <c r="J60" s="7">
        <v>40045</v>
      </c>
      <c r="K60" s="8">
        <v>63473</v>
      </c>
      <c r="L60" s="8">
        <v>29973</v>
      </c>
      <c r="M60" s="8">
        <v>3350</v>
      </c>
      <c r="N60" s="11">
        <v>0</v>
      </c>
      <c r="O60" s="12"/>
      <c r="P60" s="2" t="s">
        <v>1358</v>
      </c>
      <c r="Q60" s="52">
        <v>772</v>
      </c>
      <c r="R60" s="53" t="s">
        <v>1362</v>
      </c>
      <c r="S60" s="54">
        <v>54</v>
      </c>
      <c r="T60" s="53" t="s">
        <v>1363</v>
      </c>
      <c r="U60" s="54">
        <v>31</v>
      </c>
    </row>
    <row r="61" spans="1:21" ht="54.75" hidden="1" customHeight="1" x14ac:dyDescent="0.25">
      <c r="A61" s="2" t="s">
        <v>241</v>
      </c>
      <c r="B61" s="3" t="s">
        <v>238</v>
      </c>
      <c r="C61" s="4">
        <v>2</v>
      </c>
      <c r="D61" s="4" t="s">
        <v>239</v>
      </c>
      <c r="E61" s="3" t="s">
        <v>240</v>
      </c>
      <c r="F61" s="3" t="s">
        <v>11</v>
      </c>
      <c r="G61" s="3" t="s">
        <v>11</v>
      </c>
      <c r="H61" s="3" t="s">
        <v>1381</v>
      </c>
      <c r="I61" s="4" t="s">
        <v>21</v>
      </c>
      <c r="J61" s="7">
        <v>40045</v>
      </c>
      <c r="K61" s="8">
        <v>63518</v>
      </c>
      <c r="L61" s="8">
        <v>30018</v>
      </c>
      <c r="M61" s="8">
        <v>3350</v>
      </c>
      <c r="N61" s="11">
        <v>0</v>
      </c>
      <c r="O61" s="12"/>
      <c r="P61" s="2" t="s">
        <v>1358</v>
      </c>
      <c r="Q61" s="52">
        <v>772</v>
      </c>
      <c r="R61" s="53" t="s">
        <v>1362</v>
      </c>
      <c r="S61" s="54">
        <v>54</v>
      </c>
      <c r="T61" s="53" t="s">
        <v>1363</v>
      </c>
      <c r="U61" s="54">
        <v>31</v>
      </c>
    </row>
    <row r="62" spans="1:21" ht="54.75" hidden="1" customHeight="1" x14ac:dyDescent="0.25">
      <c r="A62" s="2" t="s">
        <v>242</v>
      </c>
      <c r="B62" s="3" t="s">
        <v>243</v>
      </c>
      <c r="C62" s="4">
        <v>2</v>
      </c>
      <c r="D62" s="4" t="s">
        <v>244</v>
      </c>
      <c r="E62" s="3" t="s">
        <v>245</v>
      </c>
      <c r="F62" s="3" t="s">
        <v>40</v>
      </c>
      <c r="G62" s="3" t="s">
        <v>41</v>
      </c>
      <c r="H62" s="3" t="s">
        <v>1375</v>
      </c>
      <c r="I62" s="4" t="s">
        <v>21</v>
      </c>
      <c r="J62" s="7">
        <v>39785</v>
      </c>
      <c r="K62" s="8">
        <v>69159</v>
      </c>
      <c r="L62" s="8">
        <v>7909</v>
      </c>
      <c r="M62" s="8">
        <v>2450</v>
      </c>
      <c r="N62" s="11">
        <v>7909</v>
      </c>
      <c r="O62" s="12">
        <v>45944</v>
      </c>
      <c r="P62" s="2" t="s">
        <v>1361</v>
      </c>
      <c r="Q62" s="52">
        <v>732</v>
      </c>
      <c r="R62" s="53" t="s">
        <v>1362</v>
      </c>
      <c r="S62" s="54">
        <v>54</v>
      </c>
      <c r="T62" s="53" t="s">
        <v>1363</v>
      </c>
      <c r="U62" s="54">
        <v>31</v>
      </c>
    </row>
    <row r="63" spans="1:21" ht="54.75" hidden="1" customHeight="1" x14ac:dyDescent="0.25">
      <c r="A63" s="2" t="s">
        <v>246</v>
      </c>
      <c r="B63" s="3" t="s">
        <v>247</v>
      </c>
      <c r="C63" s="4">
        <v>1</v>
      </c>
      <c r="D63" s="4" t="s">
        <v>248</v>
      </c>
      <c r="E63" s="3" t="s">
        <v>249</v>
      </c>
      <c r="F63" s="3" t="s">
        <v>11</v>
      </c>
      <c r="G63" s="3" t="s">
        <v>11</v>
      </c>
      <c r="H63" s="3" t="s">
        <v>1381</v>
      </c>
      <c r="I63" s="4" t="s">
        <v>21</v>
      </c>
      <c r="J63" s="7">
        <v>39565</v>
      </c>
      <c r="K63" s="8">
        <v>59482</v>
      </c>
      <c r="L63" s="8">
        <v>35392</v>
      </c>
      <c r="M63" s="8">
        <v>4015</v>
      </c>
      <c r="N63" s="11">
        <v>0</v>
      </c>
      <c r="O63" s="12"/>
      <c r="P63" s="2" t="s">
        <v>1360</v>
      </c>
      <c r="Q63" s="52">
        <v>763</v>
      </c>
      <c r="R63" s="53" t="s">
        <v>1362</v>
      </c>
      <c r="S63" s="54">
        <v>54</v>
      </c>
      <c r="T63" s="53" t="s">
        <v>1363</v>
      </c>
      <c r="U63" s="54">
        <v>31</v>
      </c>
    </row>
    <row r="64" spans="1:21" ht="54.75" customHeight="1" x14ac:dyDescent="0.25">
      <c r="A64" s="2" t="s">
        <v>250</v>
      </c>
      <c r="B64" s="3" t="s">
        <v>234</v>
      </c>
      <c r="C64" s="4">
        <v>2</v>
      </c>
      <c r="D64" s="4" t="s">
        <v>235</v>
      </c>
      <c r="E64" s="3" t="s">
        <v>236</v>
      </c>
      <c r="F64" s="3" t="s">
        <v>16</v>
      </c>
      <c r="G64" s="3" t="s">
        <v>16</v>
      </c>
      <c r="H64" s="3" t="s">
        <v>1375</v>
      </c>
      <c r="I64" s="4" t="s">
        <v>21</v>
      </c>
      <c r="J64" s="7">
        <v>39515</v>
      </c>
      <c r="K64" s="8">
        <v>65416</v>
      </c>
      <c r="L64" s="8">
        <v>16456</v>
      </c>
      <c r="M64" s="8">
        <v>2720</v>
      </c>
      <c r="N64" s="11">
        <v>0</v>
      </c>
      <c r="O64" s="12"/>
      <c r="P64" t="s">
        <v>1359</v>
      </c>
      <c r="R64" s="53" t="s">
        <v>1362</v>
      </c>
      <c r="S64" s="54">
        <v>54</v>
      </c>
      <c r="T64" s="53" t="s">
        <v>1363</v>
      </c>
      <c r="U64" s="54">
        <v>31</v>
      </c>
    </row>
    <row r="65" spans="1:21" ht="54.75" customHeight="1" x14ac:dyDescent="0.25">
      <c r="A65" s="2" t="s">
        <v>251</v>
      </c>
      <c r="B65" s="3" t="s">
        <v>252</v>
      </c>
      <c r="C65" s="4">
        <v>1</v>
      </c>
      <c r="D65" s="4" t="s">
        <v>253</v>
      </c>
      <c r="E65" s="3" t="s">
        <v>254</v>
      </c>
      <c r="F65" s="3" t="s">
        <v>11</v>
      </c>
      <c r="G65" s="3" t="s">
        <v>11</v>
      </c>
      <c r="H65" s="3" t="s">
        <v>1381</v>
      </c>
      <c r="I65" s="4" t="s">
        <v>21</v>
      </c>
      <c r="J65" s="7">
        <v>39094</v>
      </c>
      <c r="K65" s="8">
        <v>71644</v>
      </c>
      <c r="L65" s="8">
        <v>17824</v>
      </c>
      <c r="M65" s="8">
        <v>2340</v>
      </c>
      <c r="N65" s="11">
        <v>0</v>
      </c>
      <c r="O65" s="12"/>
      <c r="P65" t="s">
        <v>1359</v>
      </c>
      <c r="R65" s="53" t="s">
        <v>1362</v>
      </c>
      <c r="S65" s="54">
        <v>54</v>
      </c>
      <c r="T65" s="53" t="s">
        <v>1363</v>
      </c>
      <c r="U65" s="54">
        <v>31</v>
      </c>
    </row>
    <row r="66" spans="1:21" ht="54.75" hidden="1" customHeight="1" x14ac:dyDescent="0.25">
      <c r="A66" s="2" t="s">
        <v>255</v>
      </c>
      <c r="B66" s="3" t="s">
        <v>256</v>
      </c>
      <c r="C66" s="4">
        <v>3</v>
      </c>
      <c r="D66" s="4" t="s">
        <v>257</v>
      </c>
      <c r="E66" s="3" t="s">
        <v>258</v>
      </c>
      <c r="F66" s="3" t="s">
        <v>11</v>
      </c>
      <c r="G66" s="3" t="s">
        <v>11</v>
      </c>
      <c r="H66" s="3" t="s">
        <v>1381</v>
      </c>
      <c r="I66" s="4" t="s">
        <v>21</v>
      </c>
      <c r="J66" s="7">
        <v>38884</v>
      </c>
      <c r="K66" s="8">
        <v>65745</v>
      </c>
      <c r="L66" s="8">
        <v>24592</v>
      </c>
      <c r="M66" s="8">
        <v>2745</v>
      </c>
      <c r="N66" s="11">
        <v>0</v>
      </c>
      <c r="O66" s="12"/>
      <c r="P66" s="2" t="s">
        <v>1361</v>
      </c>
      <c r="Q66" s="52">
        <v>732</v>
      </c>
      <c r="R66" s="53" t="s">
        <v>1362</v>
      </c>
      <c r="S66" s="54">
        <v>54</v>
      </c>
      <c r="T66" s="53" t="s">
        <v>1363</v>
      </c>
      <c r="U66" s="54">
        <v>31</v>
      </c>
    </row>
    <row r="67" spans="1:21" ht="54.75" hidden="1" customHeight="1" x14ac:dyDescent="0.25">
      <c r="A67" s="2" t="s">
        <v>259</v>
      </c>
      <c r="B67" s="3" t="s">
        <v>260</v>
      </c>
      <c r="C67" s="4">
        <v>1</v>
      </c>
      <c r="D67" s="4" t="s">
        <v>261</v>
      </c>
      <c r="E67" s="3" t="s">
        <v>262</v>
      </c>
      <c r="F67" s="3" t="s">
        <v>16</v>
      </c>
      <c r="G67" s="3" t="s">
        <v>16</v>
      </c>
      <c r="H67" s="3" t="s">
        <v>1375</v>
      </c>
      <c r="I67" s="4" t="s">
        <v>21</v>
      </c>
      <c r="J67" s="7">
        <v>38375</v>
      </c>
      <c r="K67" s="8">
        <v>56865</v>
      </c>
      <c r="L67" s="8">
        <v>20015</v>
      </c>
      <c r="M67" s="8">
        <v>3350</v>
      </c>
      <c r="N67" s="11">
        <v>0</v>
      </c>
      <c r="O67" s="12"/>
      <c r="P67" s="2" t="s">
        <v>1361</v>
      </c>
      <c r="Q67" s="52">
        <v>732</v>
      </c>
      <c r="R67" s="53" t="s">
        <v>1362</v>
      </c>
      <c r="S67" s="54">
        <v>54</v>
      </c>
      <c r="T67" s="53" t="s">
        <v>1363</v>
      </c>
      <c r="U67" s="54">
        <v>31</v>
      </c>
    </row>
    <row r="68" spans="1:21" ht="54.75" hidden="1" customHeight="1" x14ac:dyDescent="0.25">
      <c r="A68" s="2" t="s">
        <v>263</v>
      </c>
      <c r="B68" s="3" t="s">
        <v>264</v>
      </c>
      <c r="C68" s="4">
        <v>1</v>
      </c>
      <c r="D68" s="4" t="s">
        <v>265</v>
      </c>
      <c r="E68" s="3" t="s">
        <v>266</v>
      </c>
      <c r="F68" s="3" t="s">
        <v>16</v>
      </c>
      <c r="G68" s="3" t="s">
        <v>29</v>
      </c>
      <c r="H68" s="3" t="s">
        <v>1375</v>
      </c>
      <c r="I68" s="4" t="s">
        <v>21</v>
      </c>
      <c r="J68" s="7">
        <v>38215</v>
      </c>
      <c r="K68" s="8">
        <v>59355</v>
      </c>
      <c r="L68" s="8">
        <v>6755</v>
      </c>
      <c r="M68" s="8">
        <v>1315</v>
      </c>
      <c r="N68" s="11">
        <v>1315</v>
      </c>
      <c r="O68" s="12">
        <v>45959</v>
      </c>
      <c r="P68" s="2" t="s">
        <v>1358</v>
      </c>
      <c r="Q68" s="52">
        <v>772</v>
      </c>
      <c r="R68" s="53" t="s">
        <v>1362</v>
      </c>
      <c r="S68" s="54">
        <v>54</v>
      </c>
      <c r="T68" s="53" t="s">
        <v>1363</v>
      </c>
      <c r="U68" s="54">
        <v>31</v>
      </c>
    </row>
    <row r="69" spans="1:21" ht="54.75" hidden="1" customHeight="1" x14ac:dyDescent="0.25">
      <c r="A69" s="2" t="s">
        <v>267</v>
      </c>
      <c r="B69" s="3" t="s">
        <v>268</v>
      </c>
      <c r="C69" s="4">
        <v>1</v>
      </c>
      <c r="D69" s="4" t="s">
        <v>269</v>
      </c>
      <c r="E69" s="3" t="s">
        <v>270</v>
      </c>
      <c r="F69" s="3" t="s">
        <v>43</v>
      </c>
      <c r="G69" s="3" t="s">
        <v>43</v>
      </c>
      <c r="H69" s="3" t="s">
        <v>1375</v>
      </c>
      <c r="I69" s="4" t="s">
        <v>21</v>
      </c>
      <c r="J69" s="7">
        <v>37890</v>
      </c>
      <c r="K69" s="8">
        <v>72798</v>
      </c>
      <c r="L69" s="8">
        <v>16248</v>
      </c>
      <c r="M69" s="8">
        <v>2175</v>
      </c>
      <c r="N69" s="11">
        <v>0</v>
      </c>
      <c r="O69" s="12"/>
      <c r="P69" s="2" t="s">
        <v>1360</v>
      </c>
      <c r="Q69" s="52">
        <v>763</v>
      </c>
      <c r="R69" s="53" t="s">
        <v>1362</v>
      </c>
      <c r="S69" s="54">
        <v>54</v>
      </c>
      <c r="T69" s="53" t="s">
        <v>1363</v>
      </c>
      <c r="U69" s="54">
        <v>31</v>
      </c>
    </row>
    <row r="70" spans="1:21" ht="54.75" customHeight="1" x14ac:dyDescent="0.25">
      <c r="A70" s="2" t="s">
        <v>271</v>
      </c>
      <c r="B70" s="3" t="s">
        <v>272</v>
      </c>
      <c r="C70" s="4">
        <v>1</v>
      </c>
      <c r="D70" s="4" t="s">
        <v>273</v>
      </c>
      <c r="E70" s="3" t="s">
        <v>274</v>
      </c>
      <c r="F70" s="3" t="s">
        <v>29</v>
      </c>
      <c r="G70" s="3" t="s">
        <v>40</v>
      </c>
      <c r="H70" s="3" t="s">
        <v>1375</v>
      </c>
      <c r="I70" s="4" t="s">
        <v>21</v>
      </c>
      <c r="J70" s="7">
        <v>37430</v>
      </c>
      <c r="K70" s="8">
        <v>47410</v>
      </c>
      <c r="L70" s="8">
        <v>8565</v>
      </c>
      <c r="M70" s="8">
        <v>2285</v>
      </c>
      <c r="N70" s="11">
        <v>0</v>
      </c>
      <c r="O70" s="12"/>
      <c r="P70" t="s">
        <v>1359</v>
      </c>
      <c r="R70" s="53" t="s">
        <v>1362</v>
      </c>
      <c r="S70" s="54">
        <v>54</v>
      </c>
      <c r="T70" s="53" t="s">
        <v>1363</v>
      </c>
      <c r="U70" s="54">
        <v>31</v>
      </c>
    </row>
    <row r="71" spans="1:21" ht="54.75" hidden="1" customHeight="1" x14ac:dyDescent="0.25">
      <c r="A71" s="2" t="s">
        <v>275</v>
      </c>
      <c r="B71" s="3" t="s">
        <v>276</v>
      </c>
      <c r="C71" s="4">
        <v>1</v>
      </c>
      <c r="D71" s="4" t="s">
        <v>277</v>
      </c>
      <c r="E71" s="3" t="s">
        <v>278</v>
      </c>
      <c r="F71" s="3" t="s">
        <v>16</v>
      </c>
      <c r="G71" s="3" t="s">
        <v>16</v>
      </c>
      <c r="H71" s="3" t="s">
        <v>1375</v>
      </c>
      <c r="I71" s="4" t="s">
        <v>21</v>
      </c>
      <c r="J71" s="7">
        <v>37305</v>
      </c>
      <c r="K71" s="8">
        <v>67885</v>
      </c>
      <c r="L71" s="8">
        <v>11335</v>
      </c>
      <c r="M71" s="8">
        <v>2175</v>
      </c>
      <c r="N71" s="11">
        <v>0</v>
      </c>
      <c r="O71" s="12"/>
      <c r="P71" s="2" t="s">
        <v>1361</v>
      </c>
      <c r="Q71" s="52">
        <v>732</v>
      </c>
      <c r="R71" s="53" t="s">
        <v>1362</v>
      </c>
      <c r="S71" s="54">
        <v>54</v>
      </c>
      <c r="T71" s="53" t="s">
        <v>1363</v>
      </c>
      <c r="U71" s="54">
        <v>31</v>
      </c>
    </row>
    <row r="72" spans="1:21" ht="54.75" hidden="1" customHeight="1" x14ac:dyDescent="0.25">
      <c r="A72" s="2" t="s">
        <v>279</v>
      </c>
      <c r="B72" s="3" t="s">
        <v>194</v>
      </c>
      <c r="C72" s="4">
        <v>2</v>
      </c>
      <c r="D72" s="4" t="s">
        <v>195</v>
      </c>
      <c r="E72" s="3" t="s">
        <v>196</v>
      </c>
      <c r="F72" s="3" t="s">
        <v>11</v>
      </c>
      <c r="G72" s="3" t="s">
        <v>11</v>
      </c>
      <c r="H72" s="3" t="s">
        <v>1381</v>
      </c>
      <c r="I72" s="4" t="s">
        <v>21</v>
      </c>
      <c r="J72" s="7">
        <v>36870</v>
      </c>
      <c r="K72" s="8">
        <v>61533</v>
      </c>
      <c r="L72" s="8">
        <v>24013</v>
      </c>
      <c r="M72" s="8">
        <v>2680</v>
      </c>
      <c r="N72" s="11">
        <v>0</v>
      </c>
      <c r="O72" s="12"/>
      <c r="P72" s="2" t="s">
        <v>1361</v>
      </c>
      <c r="Q72" s="52">
        <v>732</v>
      </c>
      <c r="R72" s="53" t="s">
        <v>1362</v>
      </c>
      <c r="S72" s="54">
        <v>54</v>
      </c>
      <c r="T72" s="53" t="s">
        <v>1363</v>
      </c>
      <c r="U72" s="54">
        <v>31</v>
      </c>
    </row>
    <row r="73" spans="1:21" ht="54.75" hidden="1" customHeight="1" x14ac:dyDescent="0.25">
      <c r="A73" s="2" t="s">
        <v>280</v>
      </c>
      <c r="B73" s="3" t="s">
        <v>281</v>
      </c>
      <c r="C73" s="4">
        <v>1</v>
      </c>
      <c r="D73" s="4" t="s">
        <v>282</v>
      </c>
      <c r="E73" s="3" t="s">
        <v>283</v>
      </c>
      <c r="F73" s="3" t="s">
        <v>11</v>
      </c>
      <c r="G73" s="3" t="s">
        <v>11</v>
      </c>
      <c r="H73" s="3" t="s">
        <v>1381</v>
      </c>
      <c r="I73" s="4" t="s">
        <v>21</v>
      </c>
      <c r="J73" s="7">
        <v>36870</v>
      </c>
      <c r="K73" s="8">
        <v>61533</v>
      </c>
      <c r="L73" s="8">
        <v>24013</v>
      </c>
      <c r="M73" s="8">
        <v>2680</v>
      </c>
      <c r="N73" s="11">
        <v>0</v>
      </c>
      <c r="O73" s="12"/>
      <c r="P73" s="2" t="s">
        <v>1358</v>
      </c>
      <c r="Q73" s="52">
        <v>772</v>
      </c>
      <c r="R73" s="53" t="s">
        <v>1362</v>
      </c>
      <c r="S73" s="54">
        <v>54</v>
      </c>
      <c r="T73" s="53" t="s">
        <v>1363</v>
      </c>
      <c r="U73" s="54">
        <v>31</v>
      </c>
    </row>
    <row r="74" spans="1:21" ht="54.75" hidden="1" customHeight="1" x14ac:dyDescent="0.25">
      <c r="A74" s="2" t="s">
        <v>284</v>
      </c>
      <c r="B74" s="3" t="s">
        <v>285</v>
      </c>
      <c r="C74" s="4">
        <v>1</v>
      </c>
      <c r="D74" s="4" t="s">
        <v>286</v>
      </c>
      <c r="E74" s="3" t="s">
        <v>287</v>
      </c>
      <c r="F74" s="3" t="s">
        <v>11</v>
      </c>
      <c r="G74" s="3" t="s">
        <v>11</v>
      </c>
      <c r="H74" s="3" t="s">
        <v>1381</v>
      </c>
      <c r="I74" s="4" t="s">
        <v>21</v>
      </c>
      <c r="J74" s="7">
        <v>36695</v>
      </c>
      <c r="K74" s="8">
        <v>67139</v>
      </c>
      <c r="L74" s="8">
        <v>17114</v>
      </c>
      <c r="M74" s="8">
        <v>2175</v>
      </c>
      <c r="N74" s="11">
        <v>0</v>
      </c>
      <c r="O74" s="12"/>
      <c r="P74" s="2" t="s">
        <v>1360</v>
      </c>
      <c r="Q74" s="52">
        <v>763</v>
      </c>
      <c r="R74" s="53" t="s">
        <v>1362</v>
      </c>
      <c r="S74" s="54">
        <v>54</v>
      </c>
      <c r="T74" s="53" t="s">
        <v>1363</v>
      </c>
      <c r="U74" s="54">
        <v>31</v>
      </c>
    </row>
    <row r="75" spans="1:21" ht="54.75" customHeight="1" x14ac:dyDescent="0.25">
      <c r="A75" s="2" t="s">
        <v>288</v>
      </c>
      <c r="B75" s="3" t="s">
        <v>289</v>
      </c>
      <c r="C75" s="4">
        <v>1</v>
      </c>
      <c r="D75" s="4" t="s">
        <v>290</v>
      </c>
      <c r="E75" s="3" t="s">
        <v>291</v>
      </c>
      <c r="F75" s="3" t="s">
        <v>16</v>
      </c>
      <c r="G75" s="3" t="s">
        <v>16</v>
      </c>
      <c r="H75" s="3" t="s">
        <v>1375</v>
      </c>
      <c r="I75" s="4" t="s">
        <v>21</v>
      </c>
      <c r="J75" s="7">
        <v>36675</v>
      </c>
      <c r="K75" s="8">
        <v>54632</v>
      </c>
      <c r="L75" s="8">
        <v>13592</v>
      </c>
      <c r="M75" s="8">
        <v>2565</v>
      </c>
      <c r="N75" s="11">
        <v>0</v>
      </c>
      <c r="O75" s="12"/>
      <c r="P75" t="s">
        <v>1359</v>
      </c>
      <c r="R75" s="53" t="s">
        <v>1362</v>
      </c>
      <c r="S75" s="54">
        <v>54</v>
      </c>
      <c r="T75" s="53" t="s">
        <v>1363</v>
      </c>
      <c r="U75" s="54">
        <v>31</v>
      </c>
    </row>
    <row r="76" spans="1:21" ht="54.75" hidden="1" customHeight="1" x14ac:dyDescent="0.25">
      <c r="A76" s="2" t="s">
        <v>292</v>
      </c>
      <c r="B76" s="3" t="s">
        <v>293</v>
      </c>
      <c r="C76" s="4">
        <v>1</v>
      </c>
      <c r="D76" s="4" t="s">
        <v>294</v>
      </c>
      <c r="E76" s="3" t="s">
        <v>295</v>
      </c>
      <c r="F76" s="3" t="s">
        <v>11</v>
      </c>
      <c r="G76" s="3" t="s">
        <v>11</v>
      </c>
      <c r="H76" s="3" t="s">
        <v>1381</v>
      </c>
      <c r="I76" s="4" t="s">
        <v>21</v>
      </c>
      <c r="J76" s="7">
        <v>36060</v>
      </c>
      <c r="K76" s="8">
        <v>67339</v>
      </c>
      <c r="L76" s="8">
        <v>19489</v>
      </c>
      <c r="M76" s="8">
        <v>2175</v>
      </c>
      <c r="N76" s="11">
        <v>0</v>
      </c>
      <c r="O76" s="12"/>
      <c r="P76" s="2" t="s">
        <v>1361</v>
      </c>
      <c r="Q76" s="52">
        <v>732</v>
      </c>
      <c r="R76" s="53" t="s">
        <v>1362</v>
      </c>
      <c r="S76" s="54">
        <v>54</v>
      </c>
      <c r="T76" s="53" t="s">
        <v>1363</v>
      </c>
      <c r="U76" s="54">
        <v>31</v>
      </c>
    </row>
    <row r="77" spans="1:21" ht="54.75" hidden="1" customHeight="1" x14ac:dyDescent="0.25">
      <c r="A77" s="2" t="s">
        <v>296</v>
      </c>
      <c r="B77" s="3" t="s">
        <v>297</v>
      </c>
      <c r="C77" s="4">
        <v>1</v>
      </c>
      <c r="D77" s="4" t="s">
        <v>298</v>
      </c>
      <c r="E77" s="3" t="s">
        <v>299</v>
      </c>
      <c r="F77" s="3" t="s">
        <v>16</v>
      </c>
      <c r="G77" s="3" t="s">
        <v>16</v>
      </c>
      <c r="H77" s="3" t="s">
        <v>1375</v>
      </c>
      <c r="I77" s="4" t="s">
        <v>21</v>
      </c>
      <c r="J77" s="7">
        <v>36060</v>
      </c>
      <c r="K77" s="8">
        <v>65160</v>
      </c>
      <c r="L77" s="8">
        <v>12960</v>
      </c>
      <c r="M77" s="8">
        <v>2175</v>
      </c>
      <c r="N77" s="11">
        <v>2500</v>
      </c>
      <c r="O77" s="12">
        <v>45960</v>
      </c>
      <c r="P77" s="2" t="s">
        <v>1358</v>
      </c>
      <c r="Q77" s="52">
        <v>772</v>
      </c>
      <c r="R77" s="53" t="s">
        <v>1362</v>
      </c>
      <c r="S77" s="54">
        <v>54</v>
      </c>
      <c r="T77" s="53" t="s">
        <v>1363</v>
      </c>
      <c r="U77" s="54">
        <v>31</v>
      </c>
    </row>
    <row r="78" spans="1:21" ht="54.75" hidden="1" customHeight="1" x14ac:dyDescent="0.25">
      <c r="A78" s="2" t="s">
        <v>300</v>
      </c>
      <c r="B78" s="3" t="s">
        <v>301</v>
      </c>
      <c r="C78" s="4">
        <v>2</v>
      </c>
      <c r="D78" s="4" t="s">
        <v>302</v>
      </c>
      <c r="E78" s="3" t="s">
        <v>303</v>
      </c>
      <c r="F78" s="3" t="s">
        <v>40</v>
      </c>
      <c r="G78" s="3" t="s">
        <v>40</v>
      </c>
      <c r="H78" s="3" t="s">
        <v>1375</v>
      </c>
      <c r="I78" s="4" t="s">
        <v>21</v>
      </c>
      <c r="J78" s="7">
        <v>35400</v>
      </c>
      <c r="K78" s="8">
        <v>61814</v>
      </c>
      <c r="L78" s="8">
        <v>7439</v>
      </c>
      <c r="M78" s="8">
        <v>2175</v>
      </c>
      <c r="N78" s="11">
        <v>0</v>
      </c>
      <c r="O78" s="12"/>
      <c r="P78" s="2" t="s">
        <v>1360</v>
      </c>
      <c r="Q78" s="52">
        <v>763</v>
      </c>
      <c r="R78" s="53" t="s">
        <v>1362</v>
      </c>
      <c r="S78" s="54">
        <v>54</v>
      </c>
      <c r="T78" s="53" t="s">
        <v>1363</v>
      </c>
      <c r="U78" s="54">
        <v>31</v>
      </c>
    </row>
    <row r="79" spans="1:21" ht="54.75" hidden="1" customHeight="1" x14ac:dyDescent="0.25">
      <c r="A79" s="2" t="s">
        <v>304</v>
      </c>
      <c r="B79" s="3" t="s">
        <v>301</v>
      </c>
      <c r="C79" s="4">
        <v>2</v>
      </c>
      <c r="D79" s="4" t="s">
        <v>302</v>
      </c>
      <c r="E79" s="3" t="s">
        <v>303</v>
      </c>
      <c r="F79" s="3" t="s">
        <v>40</v>
      </c>
      <c r="G79" s="3" t="s">
        <v>40</v>
      </c>
      <c r="H79" s="3" t="s">
        <v>1375</v>
      </c>
      <c r="I79" s="4" t="s">
        <v>21</v>
      </c>
      <c r="J79" s="7">
        <v>35400</v>
      </c>
      <c r="K79" s="8">
        <v>61814</v>
      </c>
      <c r="L79" s="8">
        <v>7439</v>
      </c>
      <c r="M79" s="8">
        <v>2175</v>
      </c>
      <c r="N79" s="11">
        <v>0</v>
      </c>
      <c r="O79" s="12"/>
      <c r="P79" s="2" t="s">
        <v>1360</v>
      </c>
      <c r="Q79" s="52">
        <v>763</v>
      </c>
      <c r="R79" s="53" t="s">
        <v>1362</v>
      </c>
      <c r="S79" s="54">
        <v>54</v>
      </c>
      <c r="T79" s="53" t="s">
        <v>1363</v>
      </c>
      <c r="U79" s="54">
        <v>31</v>
      </c>
    </row>
    <row r="80" spans="1:21" ht="54.75" hidden="1" customHeight="1" x14ac:dyDescent="0.25">
      <c r="A80" s="2" t="s">
        <v>305</v>
      </c>
      <c r="B80" s="3" t="s">
        <v>306</v>
      </c>
      <c r="C80" s="4">
        <v>1</v>
      </c>
      <c r="D80" s="4" t="s">
        <v>307</v>
      </c>
      <c r="E80" s="3" t="s">
        <v>308</v>
      </c>
      <c r="F80" s="3" t="s">
        <v>16</v>
      </c>
      <c r="G80" s="3" t="s">
        <v>16</v>
      </c>
      <c r="H80" s="3" t="s">
        <v>1375</v>
      </c>
      <c r="I80" s="4" t="s">
        <v>21</v>
      </c>
      <c r="J80" s="7">
        <v>35400</v>
      </c>
      <c r="K80" s="8">
        <v>61968</v>
      </c>
      <c r="L80" s="8">
        <v>11943</v>
      </c>
      <c r="M80" s="8">
        <v>2175</v>
      </c>
      <c r="N80" s="11">
        <v>1200</v>
      </c>
      <c r="O80" s="12">
        <v>45949</v>
      </c>
      <c r="P80" s="2" t="s">
        <v>1360</v>
      </c>
      <c r="Q80" s="52">
        <v>763</v>
      </c>
      <c r="R80" s="53" t="s">
        <v>1362</v>
      </c>
      <c r="S80" s="54">
        <v>54</v>
      </c>
      <c r="T80" s="53" t="s">
        <v>1363</v>
      </c>
      <c r="U80" s="54">
        <v>31</v>
      </c>
    </row>
    <row r="81" spans="1:21" ht="54.75" customHeight="1" x14ac:dyDescent="0.25">
      <c r="A81" s="2" t="s">
        <v>309</v>
      </c>
      <c r="B81" s="3" t="s">
        <v>310</v>
      </c>
      <c r="C81" s="4">
        <v>1</v>
      </c>
      <c r="D81" s="4" t="s">
        <v>311</v>
      </c>
      <c r="E81" s="3" t="s">
        <v>312</v>
      </c>
      <c r="F81" s="3" t="s">
        <v>29</v>
      </c>
      <c r="G81" s="3" t="s">
        <v>29</v>
      </c>
      <c r="H81" s="3" t="s">
        <v>1375</v>
      </c>
      <c r="I81" s="4" t="s">
        <v>21</v>
      </c>
      <c r="J81" s="7">
        <v>35400</v>
      </c>
      <c r="K81" s="8">
        <v>61677</v>
      </c>
      <c r="L81" s="8">
        <v>9477</v>
      </c>
      <c r="M81" s="8">
        <v>2175</v>
      </c>
      <c r="N81" s="11">
        <v>0</v>
      </c>
      <c r="O81" s="12"/>
      <c r="P81" t="s">
        <v>1359</v>
      </c>
      <c r="R81" s="53" t="s">
        <v>1362</v>
      </c>
      <c r="S81" s="54">
        <v>54</v>
      </c>
      <c r="T81" s="53" t="s">
        <v>1363</v>
      </c>
      <c r="U81" s="54">
        <v>31</v>
      </c>
    </row>
    <row r="82" spans="1:21" ht="54.75" hidden="1" customHeight="1" x14ac:dyDescent="0.25">
      <c r="A82" s="2" t="s">
        <v>313</v>
      </c>
      <c r="B82" s="3" t="s">
        <v>314</v>
      </c>
      <c r="C82" s="4">
        <v>1</v>
      </c>
      <c r="D82" s="4" t="s">
        <v>315</v>
      </c>
      <c r="E82" s="3" t="s">
        <v>316</v>
      </c>
      <c r="F82" s="3" t="s">
        <v>29</v>
      </c>
      <c r="G82" s="3" t="s">
        <v>29</v>
      </c>
      <c r="H82" s="3" t="s">
        <v>1375</v>
      </c>
      <c r="I82" s="4" t="s">
        <v>21</v>
      </c>
      <c r="J82" s="7">
        <v>34710</v>
      </c>
      <c r="K82" s="8">
        <v>60248</v>
      </c>
      <c r="L82" s="8">
        <v>10223</v>
      </c>
      <c r="M82" s="8">
        <v>2175</v>
      </c>
      <c r="N82" s="11">
        <v>0</v>
      </c>
      <c r="O82" s="12"/>
      <c r="P82" s="2" t="s">
        <v>1361</v>
      </c>
      <c r="Q82" s="52">
        <v>732</v>
      </c>
      <c r="R82" s="53" t="s">
        <v>1362</v>
      </c>
      <c r="S82" s="54">
        <v>54</v>
      </c>
      <c r="T82" s="53" t="s">
        <v>1363</v>
      </c>
      <c r="U82" s="54">
        <v>31</v>
      </c>
    </row>
    <row r="83" spans="1:21" ht="54.75" hidden="1" customHeight="1" x14ac:dyDescent="0.25">
      <c r="A83" s="2" t="s">
        <v>317</v>
      </c>
      <c r="B83" s="3" t="s">
        <v>318</v>
      </c>
      <c r="C83" s="4">
        <v>1</v>
      </c>
      <c r="D83" s="4" t="s">
        <v>319</v>
      </c>
      <c r="E83" s="3" t="s">
        <v>320</v>
      </c>
      <c r="F83" s="3" t="s">
        <v>40</v>
      </c>
      <c r="G83" s="3" t="s">
        <v>40</v>
      </c>
      <c r="H83" s="3" t="s">
        <v>1375</v>
      </c>
      <c r="I83" s="4" t="s">
        <v>21</v>
      </c>
      <c r="J83" s="7">
        <v>34710</v>
      </c>
      <c r="K83" s="8">
        <v>59638</v>
      </c>
      <c r="L83" s="8">
        <v>7438</v>
      </c>
      <c r="M83" s="8">
        <v>2175</v>
      </c>
      <c r="N83" s="11">
        <v>0</v>
      </c>
      <c r="O83" s="12"/>
      <c r="P83" s="2" t="s">
        <v>1358</v>
      </c>
      <c r="Q83" s="52">
        <v>772</v>
      </c>
      <c r="R83" s="53" t="s">
        <v>1362</v>
      </c>
      <c r="S83" s="54">
        <v>54</v>
      </c>
      <c r="T83" s="53" t="s">
        <v>1363</v>
      </c>
      <c r="U83" s="54">
        <v>31</v>
      </c>
    </row>
    <row r="84" spans="1:21" ht="54.75" hidden="1" customHeight="1" x14ac:dyDescent="0.25">
      <c r="A84" s="2" t="s">
        <v>321</v>
      </c>
      <c r="B84" s="3" t="s">
        <v>322</v>
      </c>
      <c r="C84" s="4">
        <v>1</v>
      </c>
      <c r="D84" s="4" t="s">
        <v>323</v>
      </c>
      <c r="E84" s="3" t="s">
        <v>324</v>
      </c>
      <c r="F84" s="3" t="s">
        <v>43</v>
      </c>
      <c r="G84" s="3" t="s">
        <v>43</v>
      </c>
      <c r="H84" s="3" t="s">
        <v>1375</v>
      </c>
      <c r="I84" s="4" t="s">
        <v>21</v>
      </c>
      <c r="J84" s="7">
        <v>34560</v>
      </c>
      <c r="K84" s="8">
        <v>54860</v>
      </c>
      <c r="L84" s="8">
        <v>20020</v>
      </c>
      <c r="M84" s="8">
        <v>2680</v>
      </c>
      <c r="N84" s="11">
        <v>0</v>
      </c>
      <c r="O84" s="12"/>
      <c r="P84" s="2" t="s">
        <v>1360</v>
      </c>
      <c r="Q84" s="52">
        <v>763</v>
      </c>
      <c r="R84" s="53" t="s">
        <v>1362</v>
      </c>
      <c r="S84" s="54">
        <v>54</v>
      </c>
      <c r="T84" s="53" t="s">
        <v>1363</v>
      </c>
      <c r="U84" s="54">
        <v>31</v>
      </c>
    </row>
    <row r="85" spans="1:21" ht="54.75" hidden="1" customHeight="1" x14ac:dyDescent="0.25">
      <c r="A85" s="2" t="s">
        <v>325</v>
      </c>
      <c r="B85" s="3" t="s">
        <v>326</v>
      </c>
      <c r="C85" s="4">
        <v>5</v>
      </c>
      <c r="D85" s="4" t="s">
        <v>327</v>
      </c>
      <c r="E85" s="3" t="s">
        <v>328</v>
      </c>
      <c r="F85" s="3" t="s">
        <v>11</v>
      </c>
      <c r="G85" s="3" t="s">
        <v>11</v>
      </c>
      <c r="H85" s="3" t="s">
        <v>1381</v>
      </c>
      <c r="I85" s="4" t="s">
        <v>21</v>
      </c>
      <c r="J85" s="7">
        <v>33760</v>
      </c>
      <c r="K85" s="8">
        <v>52984</v>
      </c>
      <c r="L85" s="8">
        <v>26434</v>
      </c>
      <c r="M85" s="8">
        <v>2950</v>
      </c>
      <c r="N85" s="11">
        <v>0</v>
      </c>
      <c r="O85" s="12"/>
      <c r="P85" s="2" t="s">
        <v>1358</v>
      </c>
      <c r="Q85" s="52">
        <v>772</v>
      </c>
      <c r="R85" s="53" t="s">
        <v>1362</v>
      </c>
      <c r="S85" s="54">
        <v>54</v>
      </c>
      <c r="T85" s="53" t="s">
        <v>1363</v>
      </c>
      <c r="U85" s="54">
        <v>31</v>
      </c>
    </row>
    <row r="86" spans="1:21" ht="54.75" customHeight="1" x14ac:dyDescent="0.25">
      <c r="A86" s="2" t="s">
        <v>329</v>
      </c>
      <c r="B86" s="3" t="s">
        <v>330</v>
      </c>
      <c r="C86" s="4">
        <v>1</v>
      </c>
      <c r="D86" s="4" t="s">
        <v>331</v>
      </c>
      <c r="E86" s="3" t="s">
        <v>332</v>
      </c>
      <c r="F86" s="3" t="s">
        <v>29</v>
      </c>
      <c r="G86" s="3" t="s">
        <v>40</v>
      </c>
      <c r="H86" s="3" t="s">
        <v>1375</v>
      </c>
      <c r="I86" s="4" t="s">
        <v>21</v>
      </c>
      <c r="J86" s="7">
        <v>33714</v>
      </c>
      <c r="K86" s="8">
        <v>40928</v>
      </c>
      <c r="L86" s="8">
        <v>23145</v>
      </c>
      <c r="M86" s="8">
        <v>5930</v>
      </c>
      <c r="N86" s="11">
        <v>4000</v>
      </c>
      <c r="O86" s="12">
        <v>45956</v>
      </c>
      <c r="P86" t="s">
        <v>1359</v>
      </c>
      <c r="R86" s="53" t="s">
        <v>1362</v>
      </c>
      <c r="S86" s="54">
        <v>54</v>
      </c>
      <c r="T86" s="53" t="s">
        <v>1363</v>
      </c>
      <c r="U86" s="54">
        <v>31</v>
      </c>
    </row>
    <row r="87" spans="1:21" ht="54.75" hidden="1" customHeight="1" x14ac:dyDescent="0.25">
      <c r="A87" s="2" t="s">
        <v>333</v>
      </c>
      <c r="B87" s="3" t="s">
        <v>334</v>
      </c>
      <c r="C87" s="4">
        <v>2</v>
      </c>
      <c r="D87" s="4" t="s">
        <v>335</v>
      </c>
      <c r="E87" s="3" t="s">
        <v>336</v>
      </c>
      <c r="F87" s="3" t="s">
        <v>16</v>
      </c>
      <c r="G87" s="3" t="s">
        <v>16</v>
      </c>
      <c r="H87" s="3" t="s">
        <v>1375</v>
      </c>
      <c r="I87" s="4" t="s">
        <v>21</v>
      </c>
      <c r="J87" s="7">
        <v>33673.54</v>
      </c>
      <c r="K87" s="8">
        <v>56321.54</v>
      </c>
      <c r="L87" s="8">
        <v>10646.54</v>
      </c>
      <c r="M87" s="8">
        <v>2175</v>
      </c>
      <c r="N87" s="11">
        <v>2000</v>
      </c>
      <c r="O87" s="12">
        <v>45932</v>
      </c>
      <c r="P87" s="2" t="s">
        <v>1358</v>
      </c>
      <c r="Q87" s="52">
        <v>772</v>
      </c>
      <c r="R87" s="53" t="s">
        <v>1362</v>
      </c>
      <c r="S87" s="54">
        <v>54</v>
      </c>
      <c r="T87" s="53" t="s">
        <v>1363</v>
      </c>
      <c r="U87" s="54">
        <v>31</v>
      </c>
    </row>
    <row r="88" spans="1:21" ht="54.75" hidden="1" customHeight="1" x14ac:dyDescent="0.25">
      <c r="A88" s="2" t="s">
        <v>337</v>
      </c>
      <c r="B88" s="3" t="s">
        <v>338</v>
      </c>
      <c r="C88" s="4">
        <v>1</v>
      </c>
      <c r="D88" s="4" t="s">
        <v>339</v>
      </c>
      <c r="E88" s="3" t="s">
        <v>340</v>
      </c>
      <c r="F88" s="3" t="s">
        <v>29</v>
      </c>
      <c r="G88" s="3" t="s">
        <v>40</v>
      </c>
      <c r="H88" s="3" t="s">
        <v>1375</v>
      </c>
      <c r="I88" s="4" t="s">
        <v>21</v>
      </c>
      <c r="J88" s="7">
        <v>33330</v>
      </c>
      <c r="K88" s="8">
        <v>50116</v>
      </c>
      <c r="L88" s="8">
        <v>12596</v>
      </c>
      <c r="M88" s="8">
        <v>2680</v>
      </c>
      <c r="N88" s="11">
        <v>3480</v>
      </c>
      <c r="O88" s="12">
        <v>45961</v>
      </c>
      <c r="P88" s="2" t="s">
        <v>1361</v>
      </c>
      <c r="Q88" s="52">
        <v>732</v>
      </c>
      <c r="R88" s="53" t="s">
        <v>1362</v>
      </c>
      <c r="S88" s="54">
        <v>54</v>
      </c>
      <c r="T88" s="53" t="s">
        <v>1363</v>
      </c>
      <c r="U88" s="54">
        <v>31</v>
      </c>
    </row>
    <row r="89" spans="1:21" ht="54.75" hidden="1" customHeight="1" x14ac:dyDescent="0.25">
      <c r="A89" s="2" t="s">
        <v>341</v>
      </c>
      <c r="B89" s="3" t="s">
        <v>342</v>
      </c>
      <c r="C89" s="4">
        <v>3</v>
      </c>
      <c r="D89" s="4" t="s">
        <v>343</v>
      </c>
      <c r="E89" s="3" t="s">
        <v>344</v>
      </c>
      <c r="F89" s="3" t="s">
        <v>11</v>
      </c>
      <c r="G89" s="3" t="s">
        <v>11</v>
      </c>
      <c r="H89" s="3" t="s">
        <v>1381</v>
      </c>
      <c r="I89" s="4" t="s">
        <v>21</v>
      </c>
      <c r="J89" s="7">
        <v>32940</v>
      </c>
      <c r="K89" s="8">
        <v>49574</v>
      </c>
      <c r="L89" s="8">
        <v>29474</v>
      </c>
      <c r="M89" s="8">
        <v>3350</v>
      </c>
      <c r="N89" s="11">
        <v>0</v>
      </c>
      <c r="O89" s="12"/>
      <c r="P89" s="2" t="s">
        <v>1361</v>
      </c>
      <c r="Q89" s="52">
        <v>732</v>
      </c>
      <c r="R89" s="53" t="s">
        <v>1362</v>
      </c>
      <c r="S89" s="54">
        <v>54</v>
      </c>
      <c r="T89" s="53" t="s">
        <v>1363</v>
      </c>
      <c r="U89" s="54">
        <v>31</v>
      </c>
    </row>
    <row r="90" spans="1:21" ht="54.75" hidden="1" customHeight="1" x14ac:dyDescent="0.25">
      <c r="A90" s="2" t="s">
        <v>345</v>
      </c>
      <c r="B90" s="3" t="s">
        <v>346</v>
      </c>
      <c r="C90" s="4">
        <v>1</v>
      </c>
      <c r="D90" s="4" t="s">
        <v>347</v>
      </c>
      <c r="E90" s="3" t="s">
        <v>348</v>
      </c>
      <c r="F90" s="3" t="s">
        <v>11</v>
      </c>
      <c r="G90" s="3" t="s">
        <v>11</v>
      </c>
      <c r="H90" s="3" t="s">
        <v>1381</v>
      </c>
      <c r="I90" s="4" t="s">
        <v>21</v>
      </c>
      <c r="J90" s="7">
        <v>32804</v>
      </c>
      <c r="K90" s="8">
        <v>43469</v>
      </c>
      <c r="L90" s="8">
        <v>38399</v>
      </c>
      <c r="M90" s="8">
        <v>5070</v>
      </c>
      <c r="N90" s="11">
        <v>0</v>
      </c>
      <c r="O90" s="12"/>
      <c r="P90" s="2" t="s">
        <v>1360</v>
      </c>
      <c r="Q90" s="52">
        <v>763</v>
      </c>
      <c r="R90" s="53" t="s">
        <v>1362</v>
      </c>
      <c r="S90" s="54">
        <v>54</v>
      </c>
      <c r="T90" s="53" t="s">
        <v>1363</v>
      </c>
      <c r="U90" s="54">
        <v>31</v>
      </c>
    </row>
    <row r="91" spans="1:21" ht="54.75" hidden="1" customHeight="1" x14ac:dyDescent="0.25">
      <c r="A91" s="2" t="s">
        <v>349</v>
      </c>
      <c r="B91" s="3" t="s">
        <v>350</v>
      </c>
      <c r="C91" s="4">
        <v>1</v>
      </c>
      <c r="D91" s="4" t="s">
        <v>351</v>
      </c>
      <c r="E91" s="3" t="s">
        <v>352</v>
      </c>
      <c r="F91" s="3" t="s">
        <v>43</v>
      </c>
      <c r="G91" s="3" t="s">
        <v>29</v>
      </c>
      <c r="H91" s="3" t="s">
        <v>1375</v>
      </c>
      <c r="I91" s="4" t="s">
        <v>21</v>
      </c>
      <c r="J91" s="7">
        <v>32475</v>
      </c>
      <c r="K91" s="8">
        <v>54035</v>
      </c>
      <c r="L91" s="8">
        <v>14885</v>
      </c>
      <c r="M91" s="8">
        <v>2175</v>
      </c>
      <c r="N91" s="11">
        <v>5000</v>
      </c>
      <c r="O91" s="12">
        <v>45939</v>
      </c>
      <c r="P91" s="2" t="s">
        <v>1358</v>
      </c>
      <c r="Q91" s="52">
        <v>772</v>
      </c>
      <c r="R91" s="53" t="s">
        <v>1362</v>
      </c>
      <c r="S91" s="54">
        <v>54</v>
      </c>
      <c r="T91" s="53" t="s">
        <v>1363</v>
      </c>
      <c r="U91" s="54">
        <v>31</v>
      </c>
    </row>
    <row r="92" spans="1:21" ht="54.75" hidden="1" customHeight="1" x14ac:dyDescent="0.25">
      <c r="A92" s="2" t="s">
        <v>353</v>
      </c>
      <c r="B92" s="3" t="s">
        <v>243</v>
      </c>
      <c r="C92" s="4">
        <v>2</v>
      </c>
      <c r="D92" s="4" t="s">
        <v>244</v>
      </c>
      <c r="E92" s="3" t="s">
        <v>245</v>
      </c>
      <c r="F92" s="3" t="s">
        <v>40</v>
      </c>
      <c r="G92" s="3" t="s">
        <v>41</v>
      </c>
      <c r="H92" s="3" t="s">
        <v>1375</v>
      </c>
      <c r="I92" s="4" t="s">
        <v>21</v>
      </c>
      <c r="J92" s="7">
        <v>32115</v>
      </c>
      <c r="K92" s="8">
        <v>57951</v>
      </c>
      <c r="L92" s="8">
        <v>6515</v>
      </c>
      <c r="M92" s="8">
        <v>1905</v>
      </c>
      <c r="N92" s="11">
        <v>6515</v>
      </c>
      <c r="O92" s="12">
        <v>45944</v>
      </c>
      <c r="P92" s="2" t="s">
        <v>1361</v>
      </c>
      <c r="Q92" s="52">
        <v>732</v>
      </c>
      <c r="R92" s="53" t="s">
        <v>1362</v>
      </c>
      <c r="S92" s="54">
        <v>54</v>
      </c>
      <c r="T92" s="53" t="s">
        <v>1363</v>
      </c>
      <c r="U92" s="54">
        <v>31</v>
      </c>
    </row>
    <row r="93" spans="1:21" ht="54.75" customHeight="1" x14ac:dyDescent="0.25">
      <c r="A93" s="2" t="s">
        <v>354</v>
      </c>
      <c r="B93" s="3" t="s">
        <v>355</v>
      </c>
      <c r="C93" s="4">
        <v>1</v>
      </c>
      <c r="D93" s="4" t="s">
        <v>356</v>
      </c>
      <c r="E93" s="3" t="s">
        <v>357</v>
      </c>
      <c r="F93" s="3" t="s">
        <v>40</v>
      </c>
      <c r="G93" s="3" t="s">
        <v>40</v>
      </c>
      <c r="H93" s="3" t="s">
        <v>1375</v>
      </c>
      <c r="I93" s="4" t="s">
        <v>21</v>
      </c>
      <c r="J93" s="7">
        <v>32025</v>
      </c>
      <c r="K93" s="8">
        <v>47250</v>
      </c>
      <c r="L93" s="8">
        <v>6220</v>
      </c>
      <c r="M93" s="8">
        <v>1865</v>
      </c>
      <c r="N93" s="11">
        <v>0</v>
      </c>
      <c r="O93" s="12"/>
      <c r="P93" t="s">
        <v>1359</v>
      </c>
      <c r="R93" s="53" t="s">
        <v>1362</v>
      </c>
      <c r="S93" s="54">
        <v>54</v>
      </c>
      <c r="T93" s="53" t="s">
        <v>1363</v>
      </c>
      <c r="U93" s="54">
        <v>31</v>
      </c>
    </row>
    <row r="94" spans="1:21" ht="54.75" hidden="1" customHeight="1" x14ac:dyDescent="0.25">
      <c r="A94" s="2" t="s">
        <v>358</v>
      </c>
      <c r="B94" s="3" t="s">
        <v>359</v>
      </c>
      <c r="C94" s="4">
        <v>1</v>
      </c>
      <c r="D94" s="4" t="s">
        <v>360</v>
      </c>
      <c r="E94" s="3" t="s">
        <v>361</v>
      </c>
      <c r="F94" s="3" t="s">
        <v>29</v>
      </c>
      <c r="G94" s="3" t="s">
        <v>41</v>
      </c>
      <c r="H94" s="3" t="s">
        <v>1375</v>
      </c>
      <c r="I94" s="4" t="s">
        <v>21</v>
      </c>
      <c r="J94" s="7">
        <v>31732</v>
      </c>
      <c r="K94" s="8">
        <v>56217</v>
      </c>
      <c r="L94" s="8">
        <v>6687</v>
      </c>
      <c r="M94" s="8">
        <v>1905</v>
      </c>
      <c r="N94" s="11">
        <v>6687</v>
      </c>
      <c r="O94" s="12">
        <v>45946</v>
      </c>
      <c r="P94" s="2" t="s">
        <v>1361</v>
      </c>
      <c r="Q94" s="52">
        <v>732</v>
      </c>
      <c r="R94" s="53" t="s">
        <v>1362</v>
      </c>
      <c r="S94" s="54">
        <v>54</v>
      </c>
      <c r="T94" s="53" t="s">
        <v>1363</v>
      </c>
      <c r="U94" s="54">
        <v>31</v>
      </c>
    </row>
    <row r="95" spans="1:21" ht="54.75" hidden="1" customHeight="1" x14ac:dyDescent="0.25">
      <c r="A95" s="2" t="s">
        <v>362</v>
      </c>
      <c r="B95" s="3" t="s">
        <v>363</v>
      </c>
      <c r="C95" s="4">
        <v>1</v>
      </c>
      <c r="D95" s="4" t="s">
        <v>364</v>
      </c>
      <c r="E95" s="3" t="s">
        <v>365</v>
      </c>
      <c r="F95" s="3" t="s">
        <v>43</v>
      </c>
      <c r="G95" s="3" t="s">
        <v>43</v>
      </c>
      <c r="H95" s="3" t="s">
        <v>1375</v>
      </c>
      <c r="I95" s="4" t="s">
        <v>21</v>
      </c>
      <c r="J95" s="7">
        <v>31275</v>
      </c>
      <c r="K95" s="8">
        <v>48522</v>
      </c>
      <c r="L95" s="8">
        <v>15692</v>
      </c>
      <c r="M95" s="8">
        <v>2345</v>
      </c>
      <c r="N95" s="11">
        <v>1000</v>
      </c>
      <c r="O95" s="12">
        <v>45955</v>
      </c>
      <c r="P95" s="2" t="s">
        <v>1358</v>
      </c>
      <c r="Q95" s="52">
        <v>772</v>
      </c>
      <c r="R95" s="53" t="s">
        <v>1362</v>
      </c>
      <c r="S95" s="54">
        <v>54</v>
      </c>
      <c r="T95" s="53" t="s">
        <v>1363</v>
      </c>
      <c r="U95" s="54">
        <v>31</v>
      </c>
    </row>
    <row r="96" spans="1:21" ht="54.75" hidden="1" customHeight="1" x14ac:dyDescent="0.25">
      <c r="A96" s="2" t="s">
        <v>366</v>
      </c>
      <c r="B96" s="3" t="s">
        <v>367</v>
      </c>
      <c r="C96" s="4">
        <v>1</v>
      </c>
      <c r="D96" s="4" t="s">
        <v>368</v>
      </c>
      <c r="E96" s="3" t="s">
        <v>369</v>
      </c>
      <c r="F96" s="3" t="s">
        <v>43</v>
      </c>
      <c r="G96" s="3" t="s">
        <v>29</v>
      </c>
      <c r="H96" s="3" t="s">
        <v>1375</v>
      </c>
      <c r="I96" s="4" t="s">
        <v>21</v>
      </c>
      <c r="J96" s="7">
        <v>30971</v>
      </c>
      <c r="K96" s="8">
        <v>48020</v>
      </c>
      <c r="L96" s="8">
        <v>13170</v>
      </c>
      <c r="M96" s="8">
        <v>2050</v>
      </c>
      <c r="N96" s="11">
        <v>5000</v>
      </c>
      <c r="O96" s="12">
        <v>45945</v>
      </c>
      <c r="P96" s="2" t="s">
        <v>1360</v>
      </c>
      <c r="Q96" s="52">
        <v>763</v>
      </c>
      <c r="R96" s="53" t="s">
        <v>1362</v>
      </c>
      <c r="S96" s="54">
        <v>54</v>
      </c>
      <c r="T96" s="53" t="s">
        <v>1363</v>
      </c>
      <c r="U96" s="54">
        <v>31</v>
      </c>
    </row>
    <row r="97" spans="1:21" ht="54.75" customHeight="1" x14ac:dyDescent="0.25">
      <c r="A97" s="2" t="s">
        <v>370</v>
      </c>
      <c r="B97" s="3" t="s">
        <v>371</v>
      </c>
      <c r="C97" s="4">
        <v>1</v>
      </c>
      <c r="D97" s="4" t="s">
        <v>372</v>
      </c>
      <c r="E97" s="3" t="s">
        <v>373</v>
      </c>
      <c r="F97" s="3" t="s">
        <v>16</v>
      </c>
      <c r="G97" s="3" t="s">
        <v>16</v>
      </c>
      <c r="H97" s="3" t="s">
        <v>1375</v>
      </c>
      <c r="I97" s="4" t="s">
        <v>21</v>
      </c>
      <c r="J97" s="7">
        <v>30380</v>
      </c>
      <c r="K97" s="8">
        <v>53401</v>
      </c>
      <c r="L97" s="8">
        <v>11491</v>
      </c>
      <c r="M97" s="8">
        <v>1905</v>
      </c>
      <c r="N97" s="11">
        <v>0</v>
      </c>
      <c r="O97" s="12"/>
      <c r="P97" t="s">
        <v>1359</v>
      </c>
      <c r="R97" s="53" t="s">
        <v>1362</v>
      </c>
      <c r="S97" s="54">
        <v>54</v>
      </c>
      <c r="T97" s="53" t="s">
        <v>1363</v>
      </c>
      <c r="U97" s="54">
        <v>31</v>
      </c>
    </row>
    <row r="98" spans="1:21" ht="54.75" hidden="1" customHeight="1" x14ac:dyDescent="0.25">
      <c r="A98" s="2" t="s">
        <v>374</v>
      </c>
      <c r="B98" s="3" t="s">
        <v>375</v>
      </c>
      <c r="C98" s="4">
        <v>1</v>
      </c>
      <c r="D98" s="4" t="s">
        <v>376</v>
      </c>
      <c r="E98" s="3" t="s">
        <v>377</v>
      </c>
      <c r="F98" s="3" t="s">
        <v>16</v>
      </c>
      <c r="G98" s="3" t="s">
        <v>40</v>
      </c>
      <c r="H98" s="3" t="s">
        <v>1375</v>
      </c>
      <c r="I98" s="4" t="s">
        <v>21</v>
      </c>
      <c r="J98" s="7">
        <v>30380</v>
      </c>
      <c r="K98" s="8">
        <v>52347.5</v>
      </c>
      <c r="L98" s="8">
        <v>10437.5</v>
      </c>
      <c r="M98" s="8">
        <v>1905</v>
      </c>
      <c r="N98" s="11">
        <v>5438</v>
      </c>
      <c r="O98" s="12">
        <v>45949</v>
      </c>
      <c r="P98" s="2" t="s">
        <v>1361</v>
      </c>
      <c r="Q98" s="52">
        <v>732</v>
      </c>
      <c r="R98" s="53" t="s">
        <v>1362</v>
      </c>
      <c r="S98" s="54">
        <v>54</v>
      </c>
      <c r="T98" s="53" t="s">
        <v>1363</v>
      </c>
      <c r="U98" s="54">
        <v>31</v>
      </c>
    </row>
    <row r="99" spans="1:21" ht="54.75" hidden="1" customHeight="1" x14ac:dyDescent="0.25">
      <c r="A99" s="2" t="s">
        <v>378</v>
      </c>
      <c r="B99" s="3" t="s">
        <v>379</v>
      </c>
      <c r="C99" s="4">
        <v>2</v>
      </c>
      <c r="D99" s="4" t="s">
        <v>380</v>
      </c>
      <c r="E99" s="3" t="s">
        <v>381</v>
      </c>
      <c r="F99" s="3" t="s">
        <v>16</v>
      </c>
      <c r="G99" s="3" t="s">
        <v>16</v>
      </c>
      <c r="H99" s="3" t="s">
        <v>1375</v>
      </c>
      <c r="I99" s="4" t="s">
        <v>21</v>
      </c>
      <c r="J99" s="7">
        <v>29775</v>
      </c>
      <c r="K99" s="8">
        <v>41358</v>
      </c>
      <c r="L99" s="8">
        <v>41358</v>
      </c>
      <c r="M99" s="8">
        <v>10770</v>
      </c>
      <c r="N99" s="11">
        <v>0</v>
      </c>
      <c r="O99" s="12"/>
      <c r="P99" s="2" t="s">
        <v>1361</v>
      </c>
      <c r="Q99" s="52">
        <v>732</v>
      </c>
      <c r="R99" s="53" t="s">
        <v>1362</v>
      </c>
      <c r="S99" s="54">
        <v>54</v>
      </c>
      <c r="T99" s="53" t="s">
        <v>1363</v>
      </c>
      <c r="U99" s="54">
        <v>31</v>
      </c>
    </row>
    <row r="100" spans="1:21" ht="54.75" hidden="1" customHeight="1" x14ac:dyDescent="0.25">
      <c r="A100" s="2" t="s">
        <v>382</v>
      </c>
      <c r="B100" s="3" t="s">
        <v>383</v>
      </c>
      <c r="C100" s="4">
        <v>1</v>
      </c>
      <c r="D100" s="4" t="s">
        <v>384</v>
      </c>
      <c r="E100" s="3" t="s">
        <v>385</v>
      </c>
      <c r="F100" s="3" t="s">
        <v>16</v>
      </c>
      <c r="G100" s="3" t="s">
        <v>16</v>
      </c>
      <c r="H100" s="3" t="s">
        <v>1375</v>
      </c>
      <c r="I100" s="4" t="s">
        <v>21</v>
      </c>
      <c r="J100" s="7">
        <v>29755</v>
      </c>
      <c r="K100" s="8">
        <v>51530</v>
      </c>
      <c r="L100" s="8">
        <v>11525</v>
      </c>
      <c r="M100" s="8">
        <v>1905</v>
      </c>
      <c r="N100" s="11">
        <v>0</v>
      </c>
      <c r="O100" s="12"/>
      <c r="P100" s="2" t="s">
        <v>1358</v>
      </c>
      <c r="Q100" s="52">
        <v>772</v>
      </c>
      <c r="R100" s="53" t="s">
        <v>1362</v>
      </c>
      <c r="S100" s="54">
        <v>54</v>
      </c>
      <c r="T100" s="53" t="s">
        <v>1363</v>
      </c>
      <c r="U100" s="54">
        <v>31</v>
      </c>
    </row>
    <row r="101" spans="1:21" ht="54.75" hidden="1" customHeight="1" x14ac:dyDescent="0.25">
      <c r="A101" s="2" t="s">
        <v>386</v>
      </c>
      <c r="B101" s="3" t="s">
        <v>387</v>
      </c>
      <c r="C101" s="4">
        <v>1</v>
      </c>
      <c r="D101" s="4" t="s">
        <v>388</v>
      </c>
      <c r="E101" s="3" t="s">
        <v>389</v>
      </c>
      <c r="F101" s="3" t="s">
        <v>11</v>
      </c>
      <c r="G101" s="3" t="s">
        <v>11</v>
      </c>
      <c r="H101" s="3" t="s">
        <v>1381</v>
      </c>
      <c r="I101" s="4" t="s">
        <v>21</v>
      </c>
      <c r="J101" s="7">
        <v>29235</v>
      </c>
      <c r="K101" s="8">
        <v>58794</v>
      </c>
      <c r="L101" s="8">
        <v>14649</v>
      </c>
      <c r="M101" s="8">
        <v>1635</v>
      </c>
      <c r="N101" s="11">
        <v>0</v>
      </c>
      <c r="O101" s="12"/>
      <c r="P101" s="2" t="s">
        <v>1360</v>
      </c>
      <c r="Q101" s="52">
        <v>763</v>
      </c>
      <c r="R101" s="53" t="s">
        <v>1362</v>
      </c>
      <c r="S101" s="54">
        <v>54</v>
      </c>
      <c r="T101" s="53" t="s">
        <v>1363</v>
      </c>
      <c r="U101" s="54">
        <v>31</v>
      </c>
    </row>
    <row r="102" spans="1:21" ht="54.75" customHeight="1" x14ac:dyDescent="0.25">
      <c r="A102" s="2" t="s">
        <v>390</v>
      </c>
      <c r="B102" s="3" t="s">
        <v>391</v>
      </c>
      <c r="C102" s="4">
        <v>4</v>
      </c>
      <c r="D102" s="4" t="s">
        <v>392</v>
      </c>
      <c r="E102" s="3" t="s">
        <v>393</v>
      </c>
      <c r="F102" s="3" t="s">
        <v>16</v>
      </c>
      <c r="G102" s="3" t="s">
        <v>41</v>
      </c>
      <c r="H102" s="3" t="s">
        <v>1375</v>
      </c>
      <c r="I102" s="4" t="s">
        <v>21</v>
      </c>
      <c r="J102" s="7">
        <v>28965</v>
      </c>
      <c r="K102" s="8">
        <v>54741</v>
      </c>
      <c r="L102" s="8">
        <v>9683</v>
      </c>
      <c r="M102" s="8">
        <v>1670</v>
      </c>
      <c r="N102" s="11">
        <v>9683</v>
      </c>
      <c r="O102" s="12">
        <v>45956</v>
      </c>
      <c r="P102" t="s">
        <v>1359</v>
      </c>
      <c r="R102" s="53" t="s">
        <v>1362</v>
      </c>
      <c r="S102" s="54">
        <v>54</v>
      </c>
      <c r="T102" s="53" t="s">
        <v>1363</v>
      </c>
      <c r="U102" s="54">
        <v>31</v>
      </c>
    </row>
    <row r="103" spans="1:21" ht="54.75" hidden="1" customHeight="1" x14ac:dyDescent="0.25">
      <c r="A103" s="2" t="s">
        <v>394</v>
      </c>
      <c r="B103" s="3" t="s">
        <v>395</v>
      </c>
      <c r="C103" s="4">
        <v>2</v>
      </c>
      <c r="D103" s="4" t="s">
        <v>396</v>
      </c>
      <c r="E103" s="3" t="s">
        <v>397</v>
      </c>
      <c r="F103" s="3" t="s">
        <v>11</v>
      </c>
      <c r="G103" s="3" t="s">
        <v>11</v>
      </c>
      <c r="H103" s="3" t="s">
        <v>1381</v>
      </c>
      <c r="I103" s="4" t="s">
        <v>21</v>
      </c>
      <c r="J103" s="7">
        <v>28920</v>
      </c>
      <c r="K103" s="8">
        <v>45331</v>
      </c>
      <c r="L103" s="8">
        <v>22622</v>
      </c>
      <c r="M103" s="8">
        <v>2525</v>
      </c>
      <c r="N103" s="11">
        <v>0</v>
      </c>
      <c r="O103" s="12"/>
      <c r="P103" s="2" t="s">
        <v>1361</v>
      </c>
      <c r="Q103" s="52">
        <v>732</v>
      </c>
      <c r="R103" s="53" t="s">
        <v>1362</v>
      </c>
      <c r="S103" s="54">
        <v>54</v>
      </c>
      <c r="T103" s="53" t="s">
        <v>1363</v>
      </c>
      <c r="U103" s="54">
        <v>31</v>
      </c>
    </row>
    <row r="104" spans="1:21" ht="54.75" hidden="1" customHeight="1" x14ac:dyDescent="0.25">
      <c r="A104" s="2" t="s">
        <v>398</v>
      </c>
      <c r="B104" s="3" t="s">
        <v>399</v>
      </c>
      <c r="C104" s="4">
        <v>2</v>
      </c>
      <c r="D104" s="4" t="s">
        <v>400</v>
      </c>
      <c r="E104" s="3" t="s">
        <v>401</v>
      </c>
      <c r="F104" s="3" t="s">
        <v>11</v>
      </c>
      <c r="G104" s="3" t="s">
        <v>11</v>
      </c>
      <c r="H104" s="3" t="s">
        <v>1381</v>
      </c>
      <c r="I104" s="4" t="s">
        <v>21</v>
      </c>
      <c r="J104" s="7">
        <v>28910</v>
      </c>
      <c r="K104" s="8">
        <v>46892</v>
      </c>
      <c r="L104" s="8">
        <v>18682</v>
      </c>
      <c r="M104" s="8">
        <v>2170</v>
      </c>
      <c r="N104" s="11">
        <v>0</v>
      </c>
      <c r="O104" s="12"/>
      <c r="P104" s="2" t="s">
        <v>1360</v>
      </c>
      <c r="Q104" s="52">
        <v>763</v>
      </c>
      <c r="R104" s="53" t="s">
        <v>1362</v>
      </c>
      <c r="S104" s="54">
        <v>54</v>
      </c>
      <c r="T104" s="53" t="s">
        <v>1363</v>
      </c>
      <c r="U104" s="54">
        <v>31</v>
      </c>
    </row>
    <row r="105" spans="1:21" ht="54.75" customHeight="1" x14ac:dyDescent="0.25">
      <c r="A105" s="2" t="s">
        <v>402</v>
      </c>
      <c r="B105" s="3" t="s">
        <v>403</v>
      </c>
      <c r="C105" s="4">
        <v>1</v>
      </c>
      <c r="D105" s="4" t="s">
        <v>404</v>
      </c>
      <c r="E105" s="3" t="s">
        <v>405</v>
      </c>
      <c r="F105" s="3" t="s">
        <v>43</v>
      </c>
      <c r="G105" s="3" t="s">
        <v>43</v>
      </c>
      <c r="H105" s="3" t="s">
        <v>1375</v>
      </c>
      <c r="I105" s="4" t="s">
        <v>21</v>
      </c>
      <c r="J105" s="7">
        <v>28839</v>
      </c>
      <c r="K105" s="8">
        <v>56336</v>
      </c>
      <c r="L105" s="8">
        <v>12215</v>
      </c>
      <c r="M105" s="8">
        <v>1635</v>
      </c>
      <c r="N105" s="11">
        <v>0</v>
      </c>
      <c r="O105" s="12"/>
      <c r="P105" t="s">
        <v>1359</v>
      </c>
      <c r="R105" s="53" t="s">
        <v>1362</v>
      </c>
      <c r="S105" s="54">
        <v>54</v>
      </c>
      <c r="T105" s="53" t="s">
        <v>1363</v>
      </c>
      <c r="U105" s="54">
        <v>31</v>
      </c>
    </row>
    <row r="106" spans="1:21" ht="54.75" hidden="1" customHeight="1" x14ac:dyDescent="0.25">
      <c r="A106" s="2" t="s">
        <v>406</v>
      </c>
      <c r="B106" s="3" t="s">
        <v>407</v>
      </c>
      <c r="C106" s="4">
        <v>1</v>
      </c>
      <c r="D106" s="4" t="s">
        <v>408</v>
      </c>
      <c r="E106" s="3" t="s">
        <v>409</v>
      </c>
      <c r="F106" s="3" t="s">
        <v>43</v>
      </c>
      <c r="G106" s="3" t="s">
        <v>29</v>
      </c>
      <c r="H106" s="3" t="s">
        <v>1375</v>
      </c>
      <c r="I106" s="4" t="s">
        <v>21</v>
      </c>
      <c r="J106" s="7">
        <v>28830</v>
      </c>
      <c r="K106" s="8">
        <v>55632</v>
      </c>
      <c r="L106" s="8">
        <v>11487</v>
      </c>
      <c r="M106" s="8">
        <v>1635</v>
      </c>
      <c r="N106" s="11">
        <v>4200</v>
      </c>
      <c r="O106" s="12">
        <v>45961</v>
      </c>
      <c r="P106" s="2" t="s">
        <v>1361</v>
      </c>
      <c r="Q106" s="52">
        <v>732</v>
      </c>
      <c r="R106" s="53" t="s">
        <v>1362</v>
      </c>
      <c r="S106" s="54">
        <v>54</v>
      </c>
      <c r="T106" s="53" t="s">
        <v>1363</v>
      </c>
      <c r="U106" s="54">
        <v>31</v>
      </c>
    </row>
    <row r="107" spans="1:21" ht="54.75" hidden="1" customHeight="1" x14ac:dyDescent="0.25">
      <c r="A107" s="2" t="s">
        <v>410</v>
      </c>
      <c r="B107" s="3" t="s">
        <v>411</v>
      </c>
      <c r="C107" s="4">
        <v>1</v>
      </c>
      <c r="D107" s="4" t="s">
        <v>412</v>
      </c>
      <c r="E107" s="3" t="s">
        <v>413</v>
      </c>
      <c r="F107" s="3" t="s">
        <v>11</v>
      </c>
      <c r="G107" s="3" t="s">
        <v>40</v>
      </c>
      <c r="H107" s="3" t="s">
        <v>1381</v>
      </c>
      <c r="I107" s="4" t="s">
        <v>21</v>
      </c>
      <c r="J107" s="7">
        <v>28830</v>
      </c>
      <c r="K107" s="8">
        <v>57159</v>
      </c>
      <c r="L107" s="8">
        <v>14649</v>
      </c>
      <c r="M107" s="8">
        <v>1635</v>
      </c>
      <c r="N107" s="11">
        <v>10000</v>
      </c>
      <c r="O107" s="12">
        <v>45959</v>
      </c>
      <c r="P107" s="2" t="s">
        <v>1358</v>
      </c>
      <c r="Q107" s="52">
        <v>772</v>
      </c>
      <c r="R107" s="53" t="s">
        <v>1362</v>
      </c>
      <c r="S107" s="54">
        <v>54</v>
      </c>
      <c r="T107" s="53" t="s">
        <v>1363</v>
      </c>
      <c r="U107" s="54">
        <v>31</v>
      </c>
    </row>
    <row r="108" spans="1:21" ht="54.75" hidden="1" customHeight="1" x14ac:dyDescent="0.25">
      <c r="A108" s="2" t="s">
        <v>414</v>
      </c>
      <c r="B108" s="3" t="s">
        <v>415</v>
      </c>
      <c r="C108" s="4">
        <v>1</v>
      </c>
      <c r="D108" s="4" t="s">
        <v>416</v>
      </c>
      <c r="E108" s="3" t="s">
        <v>417</v>
      </c>
      <c r="F108" s="3" t="s">
        <v>11</v>
      </c>
      <c r="G108" s="3" t="s">
        <v>11</v>
      </c>
      <c r="H108" s="3" t="s">
        <v>1381</v>
      </c>
      <c r="I108" s="4" t="s">
        <v>21</v>
      </c>
      <c r="J108" s="7">
        <v>28460</v>
      </c>
      <c r="K108" s="8">
        <v>47713</v>
      </c>
      <c r="L108" s="8">
        <v>17488</v>
      </c>
      <c r="M108" s="8">
        <v>2015</v>
      </c>
      <c r="N108" s="11">
        <v>0</v>
      </c>
      <c r="O108" s="12"/>
      <c r="P108" s="2" t="s">
        <v>1360</v>
      </c>
      <c r="Q108" s="52">
        <v>763</v>
      </c>
      <c r="R108" s="53" t="s">
        <v>1362</v>
      </c>
      <c r="S108" s="54">
        <v>54</v>
      </c>
      <c r="T108" s="53" t="s">
        <v>1363</v>
      </c>
      <c r="U108" s="54">
        <v>31</v>
      </c>
    </row>
    <row r="109" spans="1:21" ht="54.75" hidden="1" customHeight="1" x14ac:dyDescent="0.25">
      <c r="A109" s="2" t="s">
        <v>418</v>
      </c>
      <c r="B109" s="3" t="s">
        <v>256</v>
      </c>
      <c r="C109" s="4">
        <v>3</v>
      </c>
      <c r="D109" s="4" t="s">
        <v>257</v>
      </c>
      <c r="E109" s="3" t="s">
        <v>258</v>
      </c>
      <c r="F109" s="3" t="s">
        <v>11</v>
      </c>
      <c r="G109" s="3" t="s">
        <v>11</v>
      </c>
      <c r="H109" s="3" t="s">
        <v>1381</v>
      </c>
      <c r="I109" s="4" t="s">
        <v>21</v>
      </c>
      <c r="J109" s="7">
        <v>28460</v>
      </c>
      <c r="K109" s="8">
        <v>48256</v>
      </c>
      <c r="L109" s="8">
        <v>18053</v>
      </c>
      <c r="M109" s="8">
        <v>2015</v>
      </c>
      <c r="N109" s="11">
        <v>0</v>
      </c>
      <c r="O109" s="12"/>
      <c r="P109" s="2" t="s">
        <v>1361</v>
      </c>
      <c r="Q109" s="52">
        <v>732</v>
      </c>
      <c r="R109" s="53" t="s">
        <v>1362</v>
      </c>
      <c r="S109" s="54">
        <v>54</v>
      </c>
      <c r="T109" s="53" t="s">
        <v>1363</v>
      </c>
      <c r="U109" s="54">
        <v>31</v>
      </c>
    </row>
    <row r="110" spans="1:21" ht="54.75" hidden="1" customHeight="1" x14ac:dyDescent="0.25">
      <c r="A110" s="2" t="s">
        <v>419</v>
      </c>
      <c r="B110" s="3" t="s">
        <v>420</v>
      </c>
      <c r="C110" s="4">
        <v>3</v>
      </c>
      <c r="D110" s="4" t="s">
        <v>421</v>
      </c>
      <c r="E110" s="3" t="s">
        <v>422</v>
      </c>
      <c r="F110" s="3" t="s">
        <v>11</v>
      </c>
      <c r="G110" s="3" t="s">
        <v>11</v>
      </c>
      <c r="H110" s="3" t="s">
        <v>1381</v>
      </c>
      <c r="I110" s="4" t="s">
        <v>21</v>
      </c>
      <c r="J110" s="7">
        <v>28410</v>
      </c>
      <c r="K110" s="8">
        <v>53991</v>
      </c>
      <c r="L110" s="8">
        <v>13116</v>
      </c>
      <c r="M110" s="8">
        <v>1635</v>
      </c>
      <c r="N110" s="11">
        <v>0</v>
      </c>
      <c r="O110" s="12"/>
      <c r="P110" s="2" t="s">
        <v>1358</v>
      </c>
      <c r="Q110" s="52">
        <v>772</v>
      </c>
      <c r="R110" s="53" t="s">
        <v>1362</v>
      </c>
      <c r="S110" s="54">
        <v>54</v>
      </c>
      <c r="T110" s="53" t="s">
        <v>1363</v>
      </c>
      <c r="U110" s="54">
        <v>31</v>
      </c>
    </row>
    <row r="111" spans="1:21" ht="54.75" customHeight="1" x14ac:dyDescent="0.25">
      <c r="A111" s="2" t="s">
        <v>423</v>
      </c>
      <c r="B111" s="3" t="s">
        <v>424</v>
      </c>
      <c r="C111" s="4">
        <v>1</v>
      </c>
      <c r="D111" s="4" t="s">
        <v>425</v>
      </c>
      <c r="E111" s="3" t="s">
        <v>426</v>
      </c>
      <c r="F111" s="3" t="s">
        <v>43</v>
      </c>
      <c r="G111" s="3" t="s">
        <v>43</v>
      </c>
      <c r="H111" s="3" t="s">
        <v>1375</v>
      </c>
      <c r="I111" s="4" t="s">
        <v>21</v>
      </c>
      <c r="J111" s="7">
        <v>27970</v>
      </c>
      <c r="K111" s="8">
        <v>53088</v>
      </c>
      <c r="L111" s="8">
        <v>12213</v>
      </c>
      <c r="M111" s="8">
        <v>1635</v>
      </c>
      <c r="N111" s="11">
        <v>0</v>
      </c>
      <c r="O111" s="12"/>
      <c r="P111" t="s">
        <v>1359</v>
      </c>
      <c r="R111" s="53" t="s">
        <v>1362</v>
      </c>
      <c r="S111" s="54">
        <v>54</v>
      </c>
      <c r="T111" s="53" t="s">
        <v>1363</v>
      </c>
      <c r="U111" s="54">
        <v>31</v>
      </c>
    </row>
    <row r="112" spans="1:21" ht="54.75" hidden="1" customHeight="1" x14ac:dyDescent="0.25">
      <c r="A112" s="2" t="s">
        <v>427</v>
      </c>
      <c r="B112" s="3" t="s">
        <v>428</v>
      </c>
      <c r="C112" s="4">
        <v>1</v>
      </c>
      <c r="D112" s="4" t="s">
        <v>429</v>
      </c>
      <c r="E112" s="3" t="s">
        <v>430</v>
      </c>
      <c r="F112" s="3" t="s">
        <v>11</v>
      </c>
      <c r="G112" s="3" t="s">
        <v>11</v>
      </c>
      <c r="H112" s="3" t="s">
        <v>1381</v>
      </c>
      <c r="I112" s="4" t="s">
        <v>21</v>
      </c>
      <c r="J112" s="7">
        <v>27970</v>
      </c>
      <c r="K112" s="8">
        <v>53659</v>
      </c>
      <c r="L112" s="8">
        <v>14419</v>
      </c>
      <c r="M112" s="8">
        <v>1635</v>
      </c>
      <c r="N112" s="11">
        <v>0</v>
      </c>
      <c r="O112" s="12"/>
      <c r="P112" s="2" t="s">
        <v>1361</v>
      </c>
      <c r="Q112" s="52">
        <v>732</v>
      </c>
      <c r="R112" s="53" t="s">
        <v>1362</v>
      </c>
      <c r="S112" s="54">
        <v>54</v>
      </c>
      <c r="T112" s="53" t="s">
        <v>1363</v>
      </c>
      <c r="U112" s="54">
        <v>31</v>
      </c>
    </row>
    <row r="113" spans="1:21" ht="54.75" hidden="1" customHeight="1" x14ac:dyDescent="0.25">
      <c r="A113" s="2" t="s">
        <v>431</v>
      </c>
      <c r="B113" s="3" t="s">
        <v>432</v>
      </c>
      <c r="C113" s="4">
        <v>1</v>
      </c>
      <c r="D113" s="4" t="s">
        <v>433</v>
      </c>
      <c r="E113" s="3" t="s">
        <v>434</v>
      </c>
      <c r="F113" s="3" t="s">
        <v>11</v>
      </c>
      <c r="G113" s="3" t="s">
        <v>11</v>
      </c>
      <c r="H113" s="3" t="s">
        <v>1381</v>
      </c>
      <c r="I113" s="4" t="s">
        <v>21</v>
      </c>
      <c r="J113" s="7">
        <v>27970</v>
      </c>
      <c r="K113" s="8">
        <v>53295</v>
      </c>
      <c r="L113" s="8">
        <v>14055</v>
      </c>
      <c r="M113" s="8">
        <v>1635</v>
      </c>
      <c r="N113" s="11">
        <v>0</v>
      </c>
      <c r="O113" s="12"/>
      <c r="P113" s="2" t="s">
        <v>1358</v>
      </c>
      <c r="Q113" s="52">
        <v>772</v>
      </c>
      <c r="R113" s="53" t="s">
        <v>1362</v>
      </c>
      <c r="S113" s="54">
        <v>54</v>
      </c>
      <c r="T113" s="53" t="s">
        <v>1363</v>
      </c>
      <c r="U113" s="54">
        <v>31</v>
      </c>
    </row>
    <row r="114" spans="1:21" ht="54.75" hidden="1" customHeight="1" x14ac:dyDescent="0.25">
      <c r="A114" s="2" t="s">
        <v>435</v>
      </c>
      <c r="B114" s="3" t="s">
        <v>436</v>
      </c>
      <c r="C114" s="4">
        <v>2</v>
      </c>
      <c r="D114" s="4" t="s">
        <v>437</v>
      </c>
      <c r="E114" s="3" t="s">
        <v>438</v>
      </c>
      <c r="F114" s="3" t="s">
        <v>29</v>
      </c>
      <c r="G114" s="3" t="s">
        <v>35</v>
      </c>
      <c r="H114" s="3" t="s">
        <v>1375</v>
      </c>
      <c r="I114" s="4" t="s">
        <v>21</v>
      </c>
      <c r="J114" s="7">
        <v>27970</v>
      </c>
      <c r="K114" s="8">
        <v>50973</v>
      </c>
      <c r="L114" s="8">
        <v>6859</v>
      </c>
      <c r="M114" s="8">
        <v>1635</v>
      </c>
      <c r="N114" s="11">
        <v>3602</v>
      </c>
      <c r="O114" s="12">
        <v>45956</v>
      </c>
      <c r="P114" s="2" t="s">
        <v>1360</v>
      </c>
      <c r="Q114" s="52">
        <v>763</v>
      </c>
      <c r="R114" s="53" t="s">
        <v>1362</v>
      </c>
      <c r="S114" s="54">
        <v>54</v>
      </c>
      <c r="T114" s="53" t="s">
        <v>1363</v>
      </c>
      <c r="U114" s="54">
        <v>31</v>
      </c>
    </row>
    <row r="115" spans="1:21" ht="54.75" hidden="1" customHeight="1" x14ac:dyDescent="0.25">
      <c r="A115" s="2" t="s">
        <v>439</v>
      </c>
      <c r="B115" s="3" t="s">
        <v>440</v>
      </c>
      <c r="C115" s="4">
        <v>1</v>
      </c>
      <c r="D115" s="4" t="s">
        <v>441</v>
      </c>
      <c r="E115" s="3" t="s">
        <v>442</v>
      </c>
      <c r="F115" s="3" t="s">
        <v>43</v>
      </c>
      <c r="G115" s="3" t="s">
        <v>43</v>
      </c>
      <c r="H115" s="3" t="s">
        <v>1375</v>
      </c>
      <c r="I115" s="4" t="s">
        <v>21</v>
      </c>
      <c r="J115" s="7">
        <v>27920</v>
      </c>
      <c r="K115" s="8">
        <v>51171</v>
      </c>
      <c r="L115" s="8">
        <v>10296</v>
      </c>
      <c r="M115" s="8">
        <v>1635</v>
      </c>
      <c r="N115" s="11">
        <v>0</v>
      </c>
      <c r="O115" s="12"/>
      <c r="P115" s="2" t="s">
        <v>1360</v>
      </c>
      <c r="Q115" s="52">
        <v>763</v>
      </c>
      <c r="R115" s="53" t="s">
        <v>1362</v>
      </c>
      <c r="S115" s="54">
        <v>54</v>
      </c>
      <c r="T115" s="53" t="s">
        <v>1363</v>
      </c>
      <c r="U115" s="54">
        <v>31</v>
      </c>
    </row>
    <row r="116" spans="1:21" ht="54.75" hidden="1" customHeight="1" x14ac:dyDescent="0.25">
      <c r="A116" s="2" t="s">
        <v>443</v>
      </c>
      <c r="B116" s="3" t="s">
        <v>444</v>
      </c>
      <c r="C116" s="4">
        <v>3</v>
      </c>
      <c r="D116" s="4" t="s">
        <v>445</v>
      </c>
      <c r="E116" s="3" t="s">
        <v>446</v>
      </c>
      <c r="F116" s="3" t="s">
        <v>43</v>
      </c>
      <c r="G116" s="3" t="s">
        <v>41</v>
      </c>
      <c r="H116" s="3" t="s">
        <v>1375</v>
      </c>
      <c r="I116" s="4" t="s">
        <v>21</v>
      </c>
      <c r="J116" s="7">
        <v>27885</v>
      </c>
      <c r="K116" s="8">
        <v>40617</v>
      </c>
      <c r="L116" s="8">
        <v>19177</v>
      </c>
      <c r="M116" s="8">
        <v>2680</v>
      </c>
      <c r="N116" s="11">
        <v>18989</v>
      </c>
      <c r="O116" s="12">
        <v>45934</v>
      </c>
      <c r="P116" s="2" t="s">
        <v>1361</v>
      </c>
      <c r="Q116" s="52">
        <v>732</v>
      </c>
      <c r="R116" s="53" t="s">
        <v>1362</v>
      </c>
      <c r="S116" s="54">
        <v>54</v>
      </c>
      <c r="T116" s="53" t="s">
        <v>1363</v>
      </c>
      <c r="U116" s="54">
        <v>31</v>
      </c>
    </row>
    <row r="117" spans="1:21" ht="54.75" customHeight="1" x14ac:dyDescent="0.25">
      <c r="A117" s="2" t="s">
        <v>447</v>
      </c>
      <c r="B117" s="3" t="s">
        <v>448</v>
      </c>
      <c r="C117" s="4">
        <v>1</v>
      </c>
      <c r="D117" s="4" t="s">
        <v>449</v>
      </c>
      <c r="E117" s="3" t="s">
        <v>450</v>
      </c>
      <c r="F117" s="3" t="s">
        <v>43</v>
      </c>
      <c r="G117" s="3" t="s">
        <v>43</v>
      </c>
      <c r="H117" s="3" t="s">
        <v>1375</v>
      </c>
      <c r="I117" s="4" t="s">
        <v>21</v>
      </c>
      <c r="J117" s="7">
        <v>27698</v>
      </c>
      <c r="K117" s="8">
        <v>50949</v>
      </c>
      <c r="L117" s="8">
        <v>10074</v>
      </c>
      <c r="M117" s="8">
        <v>1635</v>
      </c>
      <c r="N117" s="11">
        <v>0</v>
      </c>
      <c r="O117" s="12"/>
      <c r="P117" t="s">
        <v>1359</v>
      </c>
      <c r="R117" s="53" t="s">
        <v>1362</v>
      </c>
      <c r="S117" s="54">
        <v>54</v>
      </c>
      <c r="T117" s="53" t="s">
        <v>1363</v>
      </c>
      <c r="U117" s="54">
        <v>31</v>
      </c>
    </row>
    <row r="118" spans="1:21" ht="54.75" hidden="1" customHeight="1" x14ac:dyDescent="0.25">
      <c r="A118" s="2" t="s">
        <v>451</v>
      </c>
      <c r="B118" s="3" t="s">
        <v>452</v>
      </c>
      <c r="C118" s="4">
        <v>1</v>
      </c>
      <c r="D118" s="4" t="s">
        <v>453</v>
      </c>
      <c r="E118" s="3" t="s">
        <v>454</v>
      </c>
      <c r="F118" s="3" t="s">
        <v>16</v>
      </c>
      <c r="G118" s="3" t="s">
        <v>29</v>
      </c>
      <c r="H118" s="3" t="s">
        <v>1375</v>
      </c>
      <c r="I118" s="4" t="s">
        <v>21</v>
      </c>
      <c r="J118" s="7">
        <v>27598</v>
      </c>
      <c r="K118" s="8">
        <v>43871</v>
      </c>
      <c r="L118" s="8">
        <v>9581</v>
      </c>
      <c r="M118" s="8">
        <v>1905</v>
      </c>
      <c r="N118" s="11">
        <v>0</v>
      </c>
      <c r="O118" s="12"/>
      <c r="P118" s="2" t="s">
        <v>1361</v>
      </c>
      <c r="Q118" s="52">
        <v>732</v>
      </c>
      <c r="R118" s="53" t="s">
        <v>1362</v>
      </c>
      <c r="S118" s="54">
        <v>54</v>
      </c>
      <c r="T118" s="53" t="s">
        <v>1363</v>
      </c>
      <c r="U118" s="54">
        <v>31</v>
      </c>
    </row>
    <row r="119" spans="1:21" ht="54.75" hidden="1" customHeight="1" x14ac:dyDescent="0.25">
      <c r="A119" s="2" t="s">
        <v>455</v>
      </c>
      <c r="B119" s="3" t="s">
        <v>256</v>
      </c>
      <c r="C119" s="4">
        <v>3</v>
      </c>
      <c r="D119" s="4" t="s">
        <v>257</v>
      </c>
      <c r="E119" s="3" t="s">
        <v>258</v>
      </c>
      <c r="F119" s="3" t="s">
        <v>11</v>
      </c>
      <c r="G119" s="3" t="s">
        <v>11</v>
      </c>
      <c r="H119" s="3" t="s">
        <v>1381</v>
      </c>
      <c r="I119" s="4" t="s">
        <v>21</v>
      </c>
      <c r="J119" s="7">
        <v>27531</v>
      </c>
      <c r="K119" s="8">
        <v>46286</v>
      </c>
      <c r="L119" s="8">
        <v>17058</v>
      </c>
      <c r="M119" s="8">
        <v>1950</v>
      </c>
      <c r="N119" s="11">
        <v>0</v>
      </c>
      <c r="O119" s="12"/>
      <c r="P119" s="2" t="s">
        <v>1361</v>
      </c>
      <c r="Q119" s="52">
        <v>732</v>
      </c>
      <c r="R119" s="53" t="s">
        <v>1362</v>
      </c>
      <c r="S119" s="54">
        <v>54</v>
      </c>
      <c r="T119" s="53" t="s">
        <v>1363</v>
      </c>
      <c r="U119" s="54">
        <v>31</v>
      </c>
    </row>
    <row r="120" spans="1:21" ht="54.75" hidden="1" customHeight="1" x14ac:dyDescent="0.25">
      <c r="A120" s="2" t="s">
        <v>456</v>
      </c>
      <c r="B120" s="3" t="s">
        <v>457</v>
      </c>
      <c r="C120" s="4">
        <v>1</v>
      </c>
      <c r="D120" s="4" t="s">
        <v>458</v>
      </c>
      <c r="E120" s="3" t="s">
        <v>459</v>
      </c>
      <c r="F120" s="3" t="s">
        <v>11</v>
      </c>
      <c r="G120" s="3" t="s">
        <v>11</v>
      </c>
      <c r="H120" s="3" t="s">
        <v>1381</v>
      </c>
      <c r="I120" s="4" t="s">
        <v>21</v>
      </c>
      <c r="J120" s="7">
        <v>27515</v>
      </c>
      <c r="K120" s="8">
        <v>52254</v>
      </c>
      <c r="L120" s="8">
        <v>14649</v>
      </c>
      <c r="M120" s="8">
        <v>1635</v>
      </c>
      <c r="N120" s="11">
        <v>0</v>
      </c>
      <c r="O120" s="12"/>
      <c r="P120" s="2" t="s">
        <v>1358</v>
      </c>
      <c r="Q120" s="52">
        <v>772</v>
      </c>
      <c r="R120" s="53" t="s">
        <v>1362</v>
      </c>
      <c r="S120" s="54">
        <v>54</v>
      </c>
      <c r="T120" s="53" t="s">
        <v>1363</v>
      </c>
      <c r="U120" s="54">
        <v>31</v>
      </c>
    </row>
    <row r="121" spans="1:21" ht="54.75" hidden="1" customHeight="1" x14ac:dyDescent="0.25">
      <c r="A121" s="2" t="s">
        <v>460</v>
      </c>
      <c r="B121" s="3" t="s">
        <v>461</v>
      </c>
      <c r="C121" s="4">
        <v>6</v>
      </c>
      <c r="D121" s="4" t="s">
        <v>462</v>
      </c>
      <c r="E121" s="3" t="s">
        <v>463</v>
      </c>
      <c r="F121" s="3" t="s">
        <v>40</v>
      </c>
      <c r="G121" s="3" t="s">
        <v>35</v>
      </c>
      <c r="H121" s="3" t="s">
        <v>1375</v>
      </c>
      <c r="I121" s="4" t="s">
        <v>21</v>
      </c>
      <c r="J121" s="7">
        <v>27141</v>
      </c>
      <c r="K121" s="8">
        <v>43679</v>
      </c>
      <c r="L121" s="8">
        <v>6379</v>
      </c>
      <c r="M121" s="8">
        <v>1865</v>
      </c>
      <c r="N121" s="11">
        <v>3723</v>
      </c>
      <c r="O121" s="12">
        <v>45941</v>
      </c>
      <c r="P121" s="2" t="s">
        <v>1361</v>
      </c>
      <c r="Q121" s="52">
        <v>732</v>
      </c>
      <c r="R121" s="53" t="s">
        <v>1362</v>
      </c>
      <c r="S121" s="54">
        <v>54</v>
      </c>
      <c r="T121" s="53" t="s">
        <v>1363</v>
      </c>
      <c r="U121" s="54">
        <v>31</v>
      </c>
    </row>
    <row r="122" spans="1:21" ht="54.75" hidden="1" customHeight="1" x14ac:dyDescent="0.25">
      <c r="A122" s="2" t="s">
        <v>464</v>
      </c>
      <c r="B122" s="3" t="s">
        <v>465</v>
      </c>
      <c r="C122" s="4">
        <v>1</v>
      </c>
      <c r="D122" s="4" t="s">
        <v>466</v>
      </c>
      <c r="E122" s="3" t="s">
        <v>467</v>
      </c>
      <c r="F122" s="3" t="s">
        <v>29</v>
      </c>
      <c r="G122" s="3" t="s">
        <v>35</v>
      </c>
      <c r="H122" s="3" t="s">
        <v>1375</v>
      </c>
      <c r="I122" s="4" t="s">
        <v>21</v>
      </c>
      <c r="J122" s="7">
        <v>27040</v>
      </c>
      <c r="K122" s="8">
        <v>47697</v>
      </c>
      <c r="L122" s="8">
        <v>6822</v>
      </c>
      <c r="M122" s="8">
        <v>1635</v>
      </c>
      <c r="N122" s="11">
        <v>3300</v>
      </c>
      <c r="O122" s="12">
        <v>45958</v>
      </c>
      <c r="P122" s="2" t="s">
        <v>1360</v>
      </c>
      <c r="Q122" s="52">
        <v>763</v>
      </c>
      <c r="R122" s="53" t="s">
        <v>1362</v>
      </c>
      <c r="S122" s="54">
        <v>54</v>
      </c>
      <c r="T122" s="53" t="s">
        <v>1363</v>
      </c>
      <c r="U122" s="54">
        <v>31</v>
      </c>
    </row>
    <row r="123" spans="1:21" ht="54.75" customHeight="1" x14ac:dyDescent="0.25">
      <c r="A123" s="2" t="s">
        <v>468</v>
      </c>
      <c r="B123" s="3" t="s">
        <v>469</v>
      </c>
      <c r="C123" s="4">
        <v>1</v>
      </c>
      <c r="D123" s="4" t="s">
        <v>470</v>
      </c>
      <c r="E123" s="3" t="s">
        <v>471</v>
      </c>
      <c r="F123" s="3" t="s">
        <v>40</v>
      </c>
      <c r="G123" s="3" t="s">
        <v>40</v>
      </c>
      <c r="H123" s="3" t="s">
        <v>1375</v>
      </c>
      <c r="I123" s="4" t="s">
        <v>21</v>
      </c>
      <c r="J123" s="7">
        <v>27040</v>
      </c>
      <c r="K123" s="8">
        <v>46717</v>
      </c>
      <c r="L123" s="8">
        <v>4207</v>
      </c>
      <c r="M123" s="8">
        <v>1635</v>
      </c>
      <c r="N123" s="11">
        <v>0</v>
      </c>
      <c r="O123" s="12"/>
      <c r="P123" t="s">
        <v>1359</v>
      </c>
      <c r="R123" s="53" t="s">
        <v>1362</v>
      </c>
      <c r="S123" s="54">
        <v>54</v>
      </c>
      <c r="T123" s="53" t="s">
        <v>1363</v>
      </c>
      <c r="U123" s="54">
        <v>31</v>
      </c>
    </row>
    <row r="124" spans="1:21" ht="54.75" hidden="1" customHeight="1" x14ac:dyDescent="0.25">
      <c r="A124" s="2" t="s">
        <v>472</v>
      </c>
      <c r="B124" s="3" t="s">
        <v>473</v>
      </c>
      <c r="C124" s="4">
        <v>1</v>
      </c>
      <c r="D124" s="4" t="s">
        <v>474</v>
      </c>
      <c r="E124" s="3" t="s">
        <v>475</v>
      </c>
      <c r="F124" s="3" t="s">
        <v>11</v>
      </c>
      <c r="G124" s="3" t="s">
        <v>11</v>
      </c>
      <c r="H124" s="3" t="s">
        <v>1381</v>
      </c>
      <c r="I124" s="4" t="s">
        <v>21</v>
      </c>
      <c r="J124" s="7">
        <v>27040</v>
      </c>
      <c r="K124" s="8">
        <v>50157</v>
      </c>
      <c r="L124" s="8">
        <v>14187</v>
      </c>
      <c r="M124" s="8">
        <v>1635</v>
      </c>
      <c r="N124" s="11">
        <v>0</v>
      </c>
      <c r="O124" s="12"/>
      <c r="P124" s="2" t="s">
        <v>1361</v>
      </c>
      <c r="Q124" s="52">
        <v>732</v>
      </c>
      <c r="R124" s="53" t="s">
        <v>1362</v>
      </c>
      <c r="S124" s="54">
        <v>54</v>
      </c>
      <c r="T124" s="53" t="s">
        <v>1363</v>
      </c>
      <c r="U124" s="54">
        <v>31</v>
      </c>
    </row>
    <row r="125" spans="1:21" ht="54.75" customHeight="1" x14ac:dyDescent="0.25">
      <c r="A125" s="2" t="s">
        <v>476</v>
      </c>
      <c r="B125" s="3" t="s">
        <v>477</v>
      </c>
      <c r="C125" s="4">
        <v>2</v>
      </c>
      <c r="D125" s="4" t="s">
        <v>478</v>
      </c>
      <c r="E125" s="3" t="s">
        <v>479</v>
      </c>
      <c r="F125" s="3" t="s">
        <v>16</v>
      </c>
      <c r="G125" s="3" t="s">
        <v>16</v>
      </c>
      <c r="H125" s="3" t="s">
        <v>1375</v>
      </c>
      <c r="I125" s="4" t="s">
        <v>21</v>
      </c>
      <c r="J125" s="7">
        <v>26785</v>
      </c>
      <c r="K125" s="8">
        <v>40255</v>
      </c>
      <c r="L125" s="8">
        <v>11135</v>
      </c>
      <c r="M125" s="8">
        <v>2080</v>
      </c>
      <c r="N125" s="11">
        <v>0</v>
      </c>
      <c r="O125" s="12"/>
      <c r="P125" t="s">
        <v>1359</v>
      </c>
      <c r="R125" s="53" t="s">
        <v>1362</v>
      </c>
      <c r="S125" s="54">
        <v>54</v>
      </c>
      <c r="T125" s="53" t="s">
        <v>1363</v>
      </c>
      <c r="U125" s="54">
        <v>31</v>
      </c>
    </row>
    <row r="126" spans="1:21" ht="54.75" hidden="1" customHeight="1" x14ac:dyDescent="0.25">
      <c r="A126" s="2" t="s">
        <v>480</v>
      </c>
      <c r="B126" s="3" t="s">
        <v>481</v>
      </c>
      <c r="C126" s="4">
        <v>1</v>
      </c>
      <c r="D126" s="4" t="s">
        <v>482</v>
      </c>
      <c r="E126" s="3" t="s">
        <v>483</v>
      </c>
      <c r="F126" s="3" t="s">
        <v>11</v>
      </c>
      <c r="G126" s="3" t="s">
        <v>29</v>
      </c>
      <c r="H126" s="3" t="s">
        <v>1381</v>
      </c>
      <c r="I126" s="4" t="s">
        <v>21</v>
      </c>
      <c r="J126" s="7">
        <v>26545</v>
      </c>
      <c r="K126" s="8">
        <v>47890</v>
      </c>
      <c r="L126" s="8">
        <v>13555</v>
      </c>
      <c r="M126" s="8">
        <v>1635</v>
      </c>
      <c r="N126" s="11">
        <v>7500</v>
      </c>
      <c r="O126" s="12">
        <v>45959</v>
      </c>
      <c r="P126" s="2" t="s">
        <v>1358</v>
      </c>
      <c r="Q126" s="52">
        <v>772</v>
      </c>
      <c r="R126" s="53" t="s">
        <v>1362</v>
      </c>
      <c r="S126" s="54">
        <v>54</v>
      </c>
      <c r="T126" s="53" t="s">
        <v>1363</v>
      </c>
      <c r="U126" s="54">
        <v>31</v>
      </c>
    </row>
    <row r="127" spans="1:21" ht="54.75" hidden="1" customHeight="1" x14ac:dyDescent="0.25">
      <c r="A127" s="2" t="s">
        <v>484</v>
      </c>
      <c r="B127" s="3" t="s">
        <v>485</v>
      </c>
      <c r="C127" s="4">
        <v>1</v>
      </c>
      <c r="D127" s="4" t="s">
        <v>486</v>
      </c>
      <c r="E127" s="3" t="s">
        <v>487</v>
      </c>
      <c r="F127" s="3" t="s">
        <v>40</v>
      </c>
      <c r="G127" s="3" t="s">
        <v>40</v>
      </c>
      <c r="H127" s="3" t="s">
        <v>1375</v>
      </c>
      <c r="I127" s="4" t="s">
        <v>21</v>
      </c>
      <c r="J127" s="7">
        <v>26545</v>
      </c>
      <c r="K127" s="8">
        <v>45900</v>
      </c>
      <c r="L127" s="8">
        <v>5025</v>
      </c>
      <c r="M127" s="8">
        <v>1635</v>
      </c>
      <c r="N127" s="11">
        <v>0</v>
      </c>
      <c r="O127" s="12"/>
      <c r="P127" s="2" t="s">
        <v>1360</v>
      </c>
      <c r="Q127" s="52">
        <v>763</v>
      </c>
      <c r="R127" s="53" t="s">
        <v>1362</v>
      </c>
      <c r="S127" s="54">
        <v>54</v>
      </c>
      <c r="T127" s="53" t="s">
        <v>1363</v>
      </c>
      <c r="U127" s="54">
        <v>31</v>
      </c>
    </row>
    <row r="128" spans="1:21" ht="54.75" customHeight="1" x14ac:dyDescent="0.25">
      <c r="A128" s="2" t="s">
        <v>488</v>
      </c>
      <c r="B128" s="3" t="s">
        <v>489</v>
      </c>
      <c r="C128" s="4">
        <v>1</v>
      </c>
      <c r="D128" s="4" t="s">
        <v>490</v>
      </c>
      <c r="E128" s="3" t="s">
        <v>491</v>
      </c>
      <c r="F128" s="3" t="s">
        <v>40</v>
      </c>
      <c r="G128" s="3" t="s">
        <v>41</v>
      </c>
      <c r="H128" s="3" t="s">
        <v>1375</v>
      </c>
      <c r="I128" s="4" t="s">
        <v>21</v>
      </c>
      <c r="J128" s="7">
        <v>26545</v>
      </c>
      <c r="K128" s="8">
        <v>45330</v>
      </c>
      <c r="L128" s="8">
        <v>4455</v>
      </c>
      <c r="M128" s="8">
        <v>1635</v>
      </c>
      <c r="N128" s="11">
        <v>4455</v>
      </c>
      <c r="O128" s="12">
        <v>45941</v>
      </c>
      <c r="P128" t="s">
        <v>1359</v>
      </c>
      <c r="R128" s="53" t="s">
        <v>1362</v>
      </c>
      <c r="S128" s="54">
        <v>54</v>
      </c>
      <c r="T128" s="53" t="s">
        <v>1363</v>
      </c>
      <c r="U128" s="54">
        <v>31</v>
      </c>
    </row>
    <row r="129" spans="1:21" ht="54.75" hidden="1" customHeight="1" x14ac:dyDescent="0.25">
      <c r="A129" s="2" t="s">
        <v>492</v>
      </c>
      <c r="B129" s="3" t="s">
        <v>493</v>
      </c>
      <c r="C129" s="4">
        <v>1</v>
      </c>
      <c r="D129" s="4" t="s">
        <v>494</v>
      </c>
      <c r="E129" s="3" t="s">
        <v>495</v>
      </c>
      <c r="F129" s="3" t="s">
        <v>40</v>
      </c>
      <c r="G129" s="3" t="s">
        <v>41</v>
      </c>
      <c r="H129" s="3" t="s">
        <v>1375</v>
      </c>
      <c r="I129" s="4" t="s">
        <v>21</v>
      </c>
      <c r="J129" s="7">
        <v>26174</v>
      </c>
      <c r="K129" s="8">
        <v>46060</v>
      </c>
      <c r="L129" s="8">
        <v>4850</v>
      </c>
      <c r="M129" s="8">
        <v>1585</v>
      </c>
      <c r="N129" s="11">
        <v>4850</v>
      </c>
      <c r="O129" s="12">
        <v>45944</v>
      </c>
      <c r="P129" s="2" t="s">
        <v>1361</v>
      </c>
      <c r="Q129" s="52">
        <v>732</v>
      </c>
      <c r="R129" s="53" t="s">
        <v>1362</v>
      </c>
      <c r="S129" s="54">
        <v>54</v>
      </c>
      <c r="T129" s="53" t="s">
        <v>1363</v>
      </c>
      <c r="U129" s="54">
        <v>31</v>
      </c>
    </row>
    <row r="130" spans="1:21" ht="54.75" hidden="1" customHeight="1" x14ac:dyDescent="0.25">
      <c r="A130" s="2" t="s">
        <v>496</v>
      </c>
      <c r="B130" s="3" t="s">
        <v>497</v>
      </c>
      <c r="C130" s="4">
        <v>1</v>
      </c>
      <c r="D130" s="4" t="s">
        <v>498</v>
      </c>
      <c r="E130" s="3" t="s">
        <v>499</v>
      </c>
      <c r="F130" s="3" t="s">
        <v>40</v>
      </c>
      <c r="G130" s="3" t="s">
        <v>40</v>
      </c>
      <c r="H130" s="3" t="s">
        <v>1375</v>
      </c>
      <c r="I130" s="4" t="s">
        <v>21</v>
      </c>
      <c r="J130" s="7">
        <v>26144</v>
      </c>
      <c r="K130" s="8">
        <v>44602</v>
      </c>
      <c r="L130" s="8">
        <v>3727</v>
      </c>
      <c r="M130" s="8">
        <v>1635</v>
      </c>
      <c r="N130" s="11">
        <v>0</v>
      </c>
      <c r="O130" s="12"/>
      <c r="P130" s="2" t="s">
        <v>1358</v>
      </c>
      <c r="Q130" s="52">
        <v>772</v>
      </c>
      <c r="R130" s="53" t="s">
        <v>1362</v>
      </c>
      <c r="S130" s="54">
        <v>54</v>
      </c>
      <c r="T130" s="53" t="s">
        <v>1363</v>
      </c>
      <c r="U130" s="54">
        <v>31</v>
      </c>
    </row>
    <row r="131" spans="1:21" ht="54.75" hidden="1" customHeight="1" x14ac:dyDescent="0.25">
      <c r="A131" s="2" t="s">
        <v>500</v>
      </c>
      <c r="B131" s="3" t="s">
        <v>501</v>
      </c>
      <c r="C131" s="4">
        <v>2</v>
      </c>
      <c r="D131" s="4" t="s">
        <v>502</v>
      </c>
      <c r="E131" s="3" t="s">
        <v>503</v>
      </c>
      <c r="F131" s="3" t="s">
        <v>40</v>
      </c>
      <c r="G131" s="3" t="s">
        <v>40</v>
      </c>
      <c r="H131" s="3" t="s">
        <v>1375</v>
      </c>
      <c r="I131" s="4" t="s">
        <v>21</v>
      </c>
      <c r="J131" s="7">
        <v>26030</v>
      </c>
      <c r="K131" s="8">
        <v>44831</v>
      </c>
      <c r="L131" s="8">
        <v>5591</v>
      </c>
      <c r="M131" s="8">
        <v>1635</v>
      </c>
      <c r="N131" s="11">
        <v>0</v>
      </c>
      <c r="O131" s="12"/>
      <c r="P131" s="2" t="s">
        <v>1358</v>
      </c>
      <c r="Q131" s="52">
        <v>772</v>
      </c>
      <c r="R131" s="53" t="s">
        <v>1362</v>
      </c>
      <c r="S131" s="54">
        <v>54</v>
      </c>
      <c r="T131" s="53" t="s">
        <v>1363</v>
      </c>
      <c r="U131" s="54">
        <v>31</v>
      </c>
    </row>
    <row r="132" spans="1:21" ht="54.75" hidden="1" customHeight="1" x14ac:dyDescent="0.25">
      <c r="A132" s="2" t="s">
        <v>504</v>
      </c>
      <c r="B132" s="3" t="s">
        <v>505</v>
      </c>
      <c r="C132" s="4">
        <v>1</v>
      </c>
      <c r="D132" s="4" t="s">
        <v>506</v>
      </c>
      <c r="E132" s="3" t="s">
        <v>507</v>
      </c>
      <c r="F132" s="3" t="s">
        <v>40</v>
      </c>
      <c r="G132" s="3" t="s">
        <v>40</v>
      </c>
      <c r="H132" s="3" t="s">
        <v>1375</v>
      </c>
      <c r="I132" s="4" t="s">
        <v>21</v>
      </c>
      <c r="J132" s="7">
        <v>25801</v>
      </c>
      <c r="K132" s="8">
        <v>44545</v>
      </c>
      <c r="L132" s="8">
        <v>5545</v>
      </c>
      <c r="M132" s="8">
        <v>1625</v>
      </c>
      <c r="N132" s="11">
        <v>0</v>
      </c>
      <c r="O132" s="12"/>
      <c r="P132" s="2" t="s">
        <v>1360</v>
      </c>
      <c r="Q132" s="52">
        <v>763</v>
      </c>
      <c r="R132" s="53" t="s">
        <v>1362</v>
      </c>
      <c r="S132" s="54">
        <v>54</v>
      </c>
      <c r="T132" s="53" t="s">
        <v>1363</v>
      </c>
      <c r="U132" s="54">
        <v>31</v>
      </c>
    </row>
    <row r="133" spans="1:21" ht="54.75" hidden="1" customHeight="1" x14ac:dyDescent="0.25">
      <c r="A133" s="2" t="s">
        <v>508</v>
      </c>
      <c r="B133" s="3" t="s">
        <v>509</v>
      </c>
      <c r="C133" s="4">
        <v>5</v>
      </c>
      <c r="D133" s="4" t="s">
        <v>510</v>
      </c>
      <c r="E133" s="3" t="s">
        <v>511</v>
      </c>
      <c r="F133" s="3" t="s">
        <v>11</v>
      </c>
      <c r="G133" s="3" t="s">
        <v>11</v>
      </c>
      <c r="H133" s="3" t="s">
        <v>1381</v>
      </c>
      <c r="I133" s="4" t="s">
        <v>21</v>
      </c>
      <c r="J133" s="7">
        <v>25514</v>
      </c>
      <c r="K133" s="8">
        <v>31071</v>
      </c>
      <c r="L133" s="8">
        <v>25401</v>
      </c>
      <c r="M133" s="8">
        <v>2835</v>
      </c>
      <c r="N133" s="11">
        <v>0</v>
      </c>
      <c r="O133" s="12"/>
      <c r="P133" s="2" t="s">
        <v>1361</v>
      </c>
      <c r="Q133" s="52">
        <v>732</v>
      </c>
      <c r="R133" s="53" t="s">
        <v>1362</v>
      </c>
      <c r="S133" s="54">
        <v>54</v>
      </c>
      <c r="T133" s="53" t="s">
        <v>1363</v>
      </c>
      <c r="U133" s="54">
        <v>31</v>
      </c>
    </row>
    <row r="134" spans="1:21" ht="54.75" customHeight="1" x14ac:dyDescent="0.25">
      <c r="A134" s="2" t="s">
        <v>512</v>
      </c>
      <c r="B134" s="3" t="s">
        <v>513</v>
      </c>
      <c r="C134" s="4">
        <v>1</v>
      </c>
      <c r="D134" s="4" t="s">
        <v>514</v>
      </c>
      <c r="E134" s="3" t="s">
        <v>515</v>
      </c>
      <c r="F134" s="3" t="s">
        <v>16</v>
      </c>
      <c r="G134" s="3" t="s">
        <v>16</v>
      </c>
      <c r="H134" s="3" t="s">
        <v>1375</v>
      </c>
      <c r="I134" s="4" t="s">
        <v>21</v>
      </c>
      <c r="J134" s="7">
        <v>24985</v>
      </c>
      <c r="K134" s="8">
        <v>37855</v>
      </c>
      <c r="L134" s="8">
        <v>11660</v>
      </c>
      <c r="M134" s="8">
        <v>2015</v>
      </c>
      <c r="N134" s="11">
        <v>0</v>
      </c>
      <c r="O134" s="12"/>
      <c r="P134" t="s">
        <v>1359</v>
      </c>
      <c r="R134" s="53" t="s">
        <v>1362</v>
      </c>
      <c r="S134" s="54">
        <v>54</v>
      </c>
      <c r="T134" s="53" t="s">
        <v>1363</v>
      </c>
      <c r="U134" s="54">
        <v>31</v>
      </c>
    </row>
    <row r="135" spans="1:21" ht="54.75" hidden="1" customHeight="1" x14ac:dyDescent="0.25">
      <c r="A135" s="2" t="s">
        <v>516</v>
      </c>
      <c r="B135" s="3" t="s">
        <v>517</v>
      </c>
      <c r="C135" s="4">
        <v>2</v>
      </c>
      <c r="D135" s="4" t="s">
        <v>518</v>
      </c>
      <c r="E135" s="3" t="s">
        <v>519</v>
      </c>
      <c r="F135" s="3" t="s">
        <v>43</v>
      </c>
      <c r="G135" s="3" t="s">
        <v>43</v>
      </c>
      <c r="H135" s="3" t="s">
        <v>1375</v>
      </c>
      <c r="I135" s="4" t="s">
        <v>21</v>
      </c>
      <c r="J135" s="7">
        <v>24930</v>
      </c>
      <c r="K135" s="8">
        <v>41774</v>
      </c>
      <c r="L135" s="8">
        <v>10709</v>
      </c>
      <c r="M135" s="8">
        <v>1635</v>
      </c>
      <c r="N135" s="11">
        <v>0</v>
      </c>
      <c r="O135" s="12"/>
      <c r="P135" s="2" t="s">
        <v>1360</v>
      </c>
      <c r="Q135" s="52">
        <v>763</v>
      </c>
      <c r="R135" s="53" t="s">
        <v>1362</v>
      </c>
      <c r="S135" s="54">
        <v>54</v>
      </c>
      <c r="T135" s="53" t="s">
        <v>1363</v>
      </c>
      <c r="U135" s="54">
        <v>31</v>
      </c>
    </row>
    <row r="136" spans="1:21" ht="54.75" hidden="1" customHeight="1" x14ac:dyDescent="0.25">
      <c r="A136" s="2" t="s">
        <v>520</v>
      </c>
      <c r="B136" s="3" t="s">
        <v>521</v>
      </c>
      <c r="C136" s="4">
        <v>2</v>
      </c>
      <c r="D136" s="4" t="s">
        <v>522</v>
      </c>
      <c r="E136" s="3" t="s">
        <v>523</v>
      </c>
      <c r="F136" s="3" t="s">
        <v>29</v>
      </c>
      <c r="G136" s="3" t="s">
        <v>29</v>
      </c>
      <c r="H136" s="3" t="s">
        <v>1375</v>
      </c>
      <c r="I136" s="4" t="s">
        <v>21</v>
      </c>
      <c r="J136" s="7">
        <v>24810</v>
      </c>
      <c r="K136" s="8">
        <v>34036</v>
      </c>
      <c r="L136" s="8">
        <v>12596</v>
      </c>
      <c r="M136" s="8">
        <v>2680</v>
      </c>
      <c r="N136" s="11">
        <v>0</v>
      </c>
      <c r="O136" s="12"/>
      <c r="P136" s="2" t="s">
        <v>1358</v>
      </c>
      <c r="Q136" s="52">
        <v>772</v>
      </c>
      <c r="R136" s="53" t="s">
        <v>1362</v>
      </c>
      <c r="S136" s="54">
        <v>54</v>
      </c>
      <c r="T136" s="53" t="s">
        <v>1363</v>
      </c>
      <c r="U136" s="54">
        <v>31</v>
      </c>
    </row>
    <row r="137" spans="1:21" ht="54.75" hidden="1" customHeight="1" x14ac:dyDescent="0.25">
      <c r="A137" s="2" t="s">
        <v>524</v>
      </c>
      <c r="B137" s="3" t="s">
        <v>525</v>
      </c>
      <c r="C137" s="4">
        <v>1</v>
      </c>
      <c r="D137" s="4" t="s">
        <v>526</v>
      </c>
      <c r="E137" s="3" t="s">
        <v>527</v>
      </c>
      <c r="F137" s="3" t="s">
        <v>11</v>
      </c>
      <c r="G137" s="3" t="s">
        <v>11</v>
      </c>
      <c r="H137" s="3" t="s">
        <v>1381</v>
      </c>
      <c r="I137" s="4" t="s">
        <v>21</v>
      </c>
      <c r="J137" s="7">
        <v>24750</v>
      </c>
      <c r="K137" s="8">
        <v>45563</v>
      </c>
      <c r="L137" s="8">
        <v>13433</v>
      </c>
      <c r="M137" s="8">
        <v>1530</v>
      </c>
      <c r="N137" s="11">
        <v>0</v>
      </c>
      <c r="O137" s="12"/>
      <c r="P137" s="2" t="s">
        <v>1361</v>
      </c>
      <c r="Q137" s="52">
        <v>732</v>
      </c>
      <c r="R137" s="53" t="s">
        <v>1362</v>
      </c>
      <c r="S137" s="54">
        <v>54</v>
      </c>
      <c r="T137" s="53" t="s">
        <v>1363</v>
      </c>
      <c r="U137" s="54">
        <v>31</v>
      </c>
    </row>
    <row r="138" spans="1:21" ht="54.75" hidden="1" customHeight="1" x14ac:dyDescent="0.25">
      <c r="A138" s="2" t="s">
        <v>528</v>
      </c>
      <c r="B138" s="3" t="s">
        <v>529</v>
      </c>
      <c r="C138" s="4">
        <v>1</v>
      </c>
      <c r="D138" s="4" t="s">
        <v>530</v>
      </c>
      <c r="E138" s="3" t="s">
        <v>531</v>
      </c>
      <c r="F138" s="3" t="s">
        <v>29</v>
      </c>
      <c r="G138" s="3" t="s">
        <v>29</v>
      </c>
      <c r="H138" s="3" t="s">
        <v>1375</v>
      </c>
      <c r="I138" s="4" t="s">
        <v>21</v>
      </c>
      <c r="J138" s="7">
        <v>24060</v>
      </c>
      <c r="K138" s="8">
        <v>31970</v>
      </c>
      <c r="L138" s="8">
        <v>8030</v>
      </c>
      <c r="M138" s="8">
        <v>1710</v>
      </c>
      <c r="N138" s="11">
        <v>0</v>
      </c>
      <c r="O138" s="12"/>
      <c r="P138" s="2" t="s">
        <v>1358</v>
      </c>
      <c r="Q138" s="52">
        <v>772</v>
      </c>
      <c r="R138" s="53" t="s">
        <v>1362</v>
      </c>
      <c r="S138" s="54">
        <v>54</v>
      </c>
      <c r="T138" s="53" t="s">
        <v>1363</v>
      </c>
      <c r="U138" s="54">
        <v>31</v>
      </c>
    </row>
    <row r="139" spans="1:21" ht="54.75" hidden="1" customHeight="1" x14ac:dyDescent="0.25">
      <c r="A139" s="2" t="s">
        <v>532</v>
      </c>
      <c r="B139" s="3" t="s">
        <v>533</v>
      </c>
      <c r="C139" s="4">
        <v>2</v>
      </c>
      <c r="D139" s="4" t="s">
        <v>534</v>
      </c>
      <c r="E139" s="3" t="s">
        <v>535</v>
      </c>
      <c r="F139" s="3" t="s">
        <v>16</v>
      </c>
      <c r="G139" s="3" t="s">
        <v>16</v>
      </c>
      <c r="H139" s="3" t="s">
        <v>1375</v>
      </c>
      <c r="I139" s="4" t="s">
        <v>21</v>
      </c>
      <c r="J139" s="7">
        <v>24025</v>
      </c>
      <c r="K139" s="8">
        <v>36370</v>
      </c>
      <c r="L139" s="8">
        <v>12190</v>
      </c>
      <c r="M139" s="8">
        <v>2015</v>
      </c>
      <c r="N139" s="11">
        <v>0</v>
      </c>
      <c r="O139" s="12"/>
      <c r="P139" s="2" t="s">
        <v>1358</v>
      </c>
      <c r="Q139" s="52">
        <v>772</v>
      </c>
      <c r="R139" s="53" t="s">
        <v>1362</v>
      </c>
      <c r="S139" s="54">
        <v>54</v>
      </c>
      <c r="T139" s="53" t="s">
        <v>1363</v>
      </c>
      <c r="U139" s="54">
        <v>31</v>
      </c>
    </row>
    <row r="140" spans="1:21" ht="54.75" hidden="1" customHeight="1" x14ac:dyDescent="0.25">
      <c r="A140" s="2" t="s">
        <v>536</v>
      </c>
      <c r="B140" s="3" t="s">
        <v>537</v>
      </c>
      <c r="C140" s="4">
        <v>1</v>
      </c>
      <c r="D140" s="4" t="s">
        <v>538</v>
      </c>
      <c r="E140" s="3" t="s">
        <v>539</v>
      </c>
      <c r="F140" s="3" t="s">
        <v>11</v>
      </c>
      <c r="G140" s="3" t="s">
        <v>11</v>
      </c>
      <c r="H140" s="3" t="s">
        <v>1381</v>
      </c>
      <c r="I140" s="4" t="s">
        <v>21</v>
      </c>
      <c r="J140" s="7">
        <v>24025</v>
      </c>
      <c r="K140" s="8">
        <v>36239</v>
      </c>
      <c r="L140" s="8">
        <v>16089</v>
      </c>
      <c r="M140" s="8">
        <v>2015</v>
      </c>
      <c r="N140" s="11">
        <v>0</v>
      </c>
      <c r="O140" s="12"/>
      <c r="P140" s="2" t="s">
        <v>1360</v>
      </c>
      <c r="Q140" s="52">
        <v>763</v>
      </c>
      <c r="R140" s="53" t="s">
        <v>1362</v>
      </c>
      <c r="S140" s="54">
        <v>54</v>
      </c>
      <c r="T140" s="53" t="s">
        <v>1363</v>
      </c>
      <c r="U140" s="54">
        <v>31</v>
      </c>
    </row>
    <row r="141" spans="1:21" ht="54.75" customHeight="1" x14ac:dyDescent="0.25">
      <c r="A141" s="2" t="s">
        <v>540</v>
      </c>
      <c r="B141" s="3" t="s">
        <v>541</v>
      </c>
      <c r="C141" s="4">
        <v>1</v>
      </c>
      <c r="D141" s="4" t="s">
        <v>542</v>
      </c>
      <c r="E141" s="3" t="s">
        <v>543</v>
      </c>
      <c r="F141" s="3" t="s">
        <v>40</v>
      </c>
      <c r="G141" s="3" t="s">
        <v>35</v>
      </c>
      <c r="H141" s="3" t="s">
        <v>1375</v>
      </c>
      <c r="I141" s="4" t="s">
        <v>21</v>
      </c>
      <c r="J141" s="7">
        <v>23760</v>
      </c>
      <c r="K141" s="8">
        <v>39987</v>
      </c>
      <c r="L141" s="8">
        <v>4797</v>
      </c>
      <c r="M141" s="8">
        <v>1530</v>
      </c>
      <c r="N141" s="11">
        <v>0</v>
      </c>
      <c r="O141" s="12"/>
      <c r="P141" t="s">
        <v>1359</v>
      </c>
      <c r="R141" s="53" t="s">
        <v>1362</v>
      </c>
      <c r="S141" s="54">
        <v>54</v>
      </c>
      <c r="T141" s="53" t="s">
        <v>1363</v>
      </c>
      <c r="U141" s="54">
        <v>31</v>
      </c>
    </row>
    <row r="142" spans="1:21" ht="54.75" hidden="1" customHeight="1" x14ac:dyDescent="0.25">
      <c r="A142" s="2" t="s">
        <v>544</v>
      </c>
      <c r="B142" s="3" t="s">
        <v>545</v>
      </c>
      <c r="C142" s="4">
        <v>1</v>
      </c>
      <c r="D142" s="4" t="s">
        <v>546</v>
      </c>
      <c r="E142" s="3" t="s">
        <v>547</v>
      </c>
      <c r="F142" s="3" t="s">
        <v>43</v>
      </c>
      <c r="G142" s="3" t="s">
        <v>43</v>
      </c>
      <c r="H142" s="3" t="s">
        <v>1375</v>
      </c>
      <c r="I142" s="4" t="s">
        <v>21</v>
      </c>
      <c r="J142" s="7">
        <v>23680</v>
      </c>
      <c r="K142" s="8">
        <v>45687</v>
      </c>
      <c r="L142" s="8">
        <v>10197</v>
      </c>
      <c r="M142" s="8">
        <v>1365</v>
      </c>
      <c r="N142" s="11">
        <v>0</v>
      </c>
      <c r="O142" s="12"/>
      <c r="P142" s="2" t="s">
        <v>1361</v>
      </c>
      <c r="Q142" s="52">
        <v>732</v>
      </c>
      <c r="R142" s="53" t="s">
        <v>1362</v>
      </c>
      <c r="S142" s="54">
        <v>54</v>
      </c>
      <c r="T142" s="53" t="s">
        <v>1363</v>
      </c>
      <c r="U142" s="54">
        <v>31</v>
      </c>
    </row>
    <row r="143" spans="1:21" ht="54.75" hidden="1" customHeight="1" x14ac:dyDescent="0.25">
      <c r="A143" s="2" t="s">
        <v>548</v>
      </c>
      <c r="B143" s="3" t="s">
        <v>70</v>
      </c>
      <c r="C143" s="4">
        <v>3</v>
      </c>
      <c r="D143" s="4" t="s">
        <v>71</v>
      </c>
      <c r="E143" s="3" t="s">
        <v>72</v>
      </c>
      <c r="F143" s="3" t="s">
        <v>29</v>
      </c>
      <c r="G143" s="3" t="s">
        <v>29</v>
      </c>
      <c r="H143" s="3" t="s">
        <v>1375</v>
      </c>
      <c r="I143" s="4" t="s">
        <v>21</v>
      </c>
      <c r="J143" s="7">
        <v>23607</v>
      </c>
      <c r="K143" s="8">
        <v>43874</v>
      </c>
      <c r="L143" s="8">
        <v>6510</v>
      </c>
      <c r="M143" s="8">
        <v>1385</v>
      </c>
      <c r="N143" s="11">
        <v>0</v>
      </c>
      <c r="O143" s="12"/>
      <c r="P143" s="2" t="s">
        <v>1358</v>
      </c>
      <c r="Q143" s="52">
        <v>772</v>
      </c>
      <c r="R143" s="53" t="s">
        <v>1362</v>
      </c>
      <c r="S143" s="54">
        <v>54</v>
      </c>
      <c r="T143" s="53" t="s">
        <v>1363</v>
      </c>
      <c r="U143" s="54">
        <v>31</v>
      </c>
    </row>
    <row r="144" spans="1:21" ht="54.75" hidden="1" customHeight="1" x14ac:dyDescent="0.25">
      <c r="A144" s="2" t="s">
        <v>549</v>
      </c>
      <c r="B144" s="3" t="s">
        <v>436</v>
      </c>
      <c r="C144" s="4">
        <v>2</v>
      </c>
      <c r="D144" s="4" t="s">
        <v>437</v>
      </c>
      <c r="E144" s="3" t="s">
        <v>438</v>
      </c>
      <c r="F144" s="3" t="s">
        <v>29</v>
      </c>
      <c r="G144" s="3" t="s">
        <v>35</v>
      </c>
      <c r="H144" s="3" t="s">
        <v>1375</v>
      </c>
      <c r="I144" s="4" t="s">
        <v>21</v>
      </c>
      <c r="J144" s="7">
        <v>23315</v>
      </c>
      <c r="K144" s="8">
        <v>43238</v>
      </c>
      <c r="L144" s="8">
        <v>6414</v>
      </c>
      <c r="M144" s="8">
        <v>1365</v>
      </c>
      <c r="N144" s="11">
        <v>3398</v>
      </c>
      <c r="O144" s="12">
        <v>45956</v>
      </c>
      <c r="P144" s="2" t="s">
        <v>1360</v>
      </c>
      <c r="Q144" s="52">
        <v>763</v>
      </c>
      <c r="R144" s="53" t="s">
        <v>1362</v>
      </c>
      <c r="S144" s="54">
        <v>54</v>
      </c>
      <c r="T144" s="53" t="s">
        <v>1363</v>
      </c>
      <c r="U144" s="54">
        <v>31</v>
      </c>
    </row>
    <row r="145" spans="1:21" ht="54.75" hidden="1" customHeight="1" x14ac:dyDescent="0.25">
      <c r="A145" s="2" t="s">
        <v>550</v>
      </c>
      <c r="B145" s="3" t="s">
        <v>551</v>
      </c>
      <c r="C145" s="4">
        <v>1</v>
      </c>
      <c r="D145" s="4" t="s">
        <v>552</v>
      </c>
      <c r="E145" s="3" t="s">
        <v>553</v>
      </c>
      <c r="F145" s="3" t="s">
        <v>40</v>
      </c>
      <c r="G145" s="3" t="s">
        <v>35</v>
      </c>
      <c r="H145" s="3" t="s">
        <v>1375</v>
      </c>
      <c r="I145" s="4" t="s">
        <v>21</v>
      </c>
      <c r="J145" s="7">
        <v>23025</v>
      </c>
      <c r="K145" s="8">
        <v>31742</v>
      </c>
      <c r="L145" s="8">
        <v>5547</v>
      </c>
      <c r="M145" s="8">
        <v>2015</v>
      </c>
      <c r="N145" s="11">
        <v>2500</v>
      </c>
      <c r="O145" s="12">
        <v>45945</v>
      </c>
      <c r="P145" s="2" t="s">
        <v>1358</v>
      </c>
      <c r="Q145" s="52">
        <v>772</v>
      </c>
      <c r="R145" s="53" t="s">
        <v>1362</v>
      </c>
      <c r="S145" s="54">
        <v>54</v>
      </c>
      <c r="T145" s="53" t="s">
        <v>1363</v>
      </c>
      <c r="U145" s="54">
        <v>31</v>
      </c>
    </row>
    <row r="146" spans="1:21" ht="54.75" hidden="1" customHeight="1" x14ac:dyDescent="0.25">
      <c r="A146" s="2" t="s">
        <v>554</v>
      </c>
      <c r="B146" s="3" t="s">
        <v>555</v>
      </c>
      <c r="C146" s="4">
        <v>1</v>
      </c>
      <c r="D146" s="4" t="s">
        <v>556</v>
      </c>
      <c r="E146" s="3" t="s">
        <v>557</v>
      </c>
      <c r="F146" s="3" t="s">
        <v>16</v>
      </c>
      <c r="G146" s="3" t="s">
        <v>16</v>
      </c>
      <c r="H146" s="3" t="s">
        <v>1375</v>
      </c>
      <c r="I146" s="4" t="s">
        <v>21</v>
      </c>
      <c r="J146" s="7">
        <v>23025</v>
      </c>
      <c r="K146" s="8">
        <v>34213</v>
      </c>
      <c r="L146" s="8">
        <v>12048</v>
      </c>
      <c r="M146" s="8">
        <v>2015</v>
      </c>
      <c r="N146" s="11">
        <v>2500</v>
      </c>
      <c r="O146" s="12">
        <v>45946</v>
      </c>
      <c r="P146" s="2" t="s">
        <v>1360</v>
      </c>
      <c r="Q146" s="52">
        <v>763</v>
      </c>
      <c r="R146" s="53" t="s">
        <v>1362</v>
      </c>
      <c r="S146" s="54">
        <v>54</v>
      </c>
      <c r="T146" s="53" t="s">
        <v>1363</v>
      </c>
      <c r="U146" s="54">
        <v>31</v>
      </c>
    </row>
    <row r="147" spans="1:21" ht="54.75" customHeight="1" x14ac:dyDescent="0.25">
      <c r="A147" s="2" t="s">
        <v>558</v>
      </c>
      <c r="B147" s="3" t="s">
        <v>559</v>
      </c>
      <c r="C147" s="4">
        <v>1</v>
      </c>
      <c r="D147" s="4" t="s">
        <v>560</v>
      </c>
      <c r="E147" s="3" t="s">
        <v>561</v>
      </c>
      <c r="F147" s="3" t="s">
        <v>16</v>
      </c>
      <c r="G147" s="3" t="s">
        <v>16</v>
      </c>
      <c r="H147" s="3" t="s">
        <v>1375</v>
      </c>
      <c r="I147" s="4" t="s">
        <v>21</v>
      </c>
      <c r="J147" s="7">
        <v>23025</v>
      </c>
      <c r="K147" s="8">
        <v>33721</v>
      </c>
      <c r="L147" s="8">
        <v>11556</v>
      </c>
      <c r="M147" s="8">
        <v>2015</v>
      </c>
      <c r="N147" s="11">
        <v>0</v>
      </c>
      <c r="O147" s="12"/>
      <c r="P147" t="s">
        <v>1359</v>
      </c>
      <c r="R147" s="53" t="s">
        <v>1362</v>
      </c>
      <c r="S147" s="54">
        <v>54</v>
      </c>
      <c r="T147" s="53" t="s">
        <v>1363</v>
      </c>
      <c r="U147" s="54">
        <v>31</v>
      </c>
    </row>
    <row r="148" spans="1:21" ht="54.75" hidden="1" customHeight="1" x14ac:dyDescent="0.25">
      <c r="A148" s="2" t="s">
        <v>562</v>
      </c>
      <c r="B148" s="3" t="s">
        <v>563</v>
      </c>
      <c r="C148" s="4">
        <v>1</v>
      </c>
      <c r="D148" s="4" t="s">
        <v>564</v>
      </c>
      <c r="E148" s="3" t="s">
        <v>565</v>
      </c>
      <c r="F148" s="3" t="s">
        <v>29</v>
      </c>
      <c r="G148" s="3" t="s">
        <v>41</v>
      </c>
      <c r="H148" s="3" t="s">
        <v>1375</v>
      </c>
      <c r="I148" s="4" t="s">
        <v>21</v>
      </c>
      <c r="J148" s="7">
        <v>22718</v>
      </c>
      <c r="K148" s="8">
        <v>35299</v>
      </c>
      <c r="L148" s="8">
        <v>5869</v>
      </c>
      <c r="M148" s="8">
        <v>1635</v>
      </c>
      <c r="N148" s="11">
        <v>5869</v>
      </c>
      <c r="O148" s="12">
        <v>45957</v>
      </c>
      <c r="P148" s="2" t="s">
        <v>1361</v>
      </c>
      <c r="Q148" s="52">
        <v>732</v>
      </c>
      <c r="R148" s="53" t="s">
        <v>1362</v>
      </c>
      <c r="S148" s="54">
        <v>54</v>
      </c>
      <c r="T148" s="53" t="s">
        <v>1363</v>
      </c>
      <c r="U148" s="54">
        <v>31</v>
      </c>
    </row>
    <row r="149" spans="1:21" ht="54.75" hidden="1" customHeight="1" x14ac:dyDescent="0.25">
      <c r="A149" s="2" t="s">
        <v>566</v>
      </c>
      <c r="B149" s="3" t="s">
        <v>326</v>
      </c>
      <c r="C149" s="4">
        <v>5</v>
      </c>
      <c r="D149" s="4" t="s">
        <v>327</v>
      </c>
      <c r="E149" s="3" t="s">
        <v>328</v>
      </c>
      <c r="F149" s="3" t="s">
        <v>11</v>
      </c>
      <c r="G149" s="3" t="s">
        <v>11</v>
      </c>
      <c r="H149" s="3" t="s">
        <v>1381</v>
      </c>
      <c r="I149" s="4" t="s">
        <v>21</v>
      </c>
      <c r="J149" s="7">
        <v>22684</v>
      </c>
      <c r="K149" s="8">
        <v>35652</v>
      </c>
      <c r="L149" s="8">
        <v>17787</v>
      </c>
      <c r="M149" s="8">
        <v>1985</v>
      </c>
      <c r="N149" s="11">
        <v>0</v>
      </c>
      <c r="O149" s="12"/>
      <c r="P149" s="2" t="s">
        <v>1358</v>
      </c>
      <c r="Q149" s="52">
        <v>772</v>
      </c>
      <c r="R149" s="53" t="s">
        <v>1362</v>
      </c>
      <c r="S149" s="54">
        <v>54</v>
      </c>
      <c r="T149" s="53" t="s">
        <v>1363</v>
      </c>
      <c r="U149" s="54">
        <v>31</v>
      </c>
    </row>
    <row r="150" spans="1:21" ht="54.75" hidden="1" customHeight="1" x14ac:dyDescent="0.25">
      <c r="A150" s="2" t="s">
        <v>567</v>
      </c>
      <c r="B150" s="3" t="s">
        <v>568</v>
      </c>
      <c r="C150" s="4">
        <v>1</v>
      </c>
      <c r="D150" s="4" t="s">
        <v>569</v>
      </c>
      <c r="E150" s="3" t="s">
        <v>570</v>
      </c>
      <c r="F150" s="3" t="s">
        <v>16</v>
      </c>
      <c r="G150" s="3" t="s">
        <v>16</v>
      </c>
      <c r="H150" s="3" t="s">
        <v>1375</v>
      </c>
      <c r="I150" s="4" t="s">
        <v>21</v>
      </c>
      <c r="J150" s="7">
        <v>22563</v>
      </c>
      <c r="K150" s="8">
        <v>32218</v>
      </c>
      <c r="L150" s="8">
        <v>10053</v>
      </c>
      <c r="M150" s="8">
        <v>2015</v>
      </c>
      <c r="N150" s="11">
        <v>0</v>
      </c>
      <c r="O150" s="12"/>
      <c r="P150" s="2" t="s">
        <v>1358</v>
      </c>
      <c r="Q150" s="52">
        <v>772</v>
      </c>
      <c r="R150" s="53" t="s">
        <v>1362</v>
      </c>
      <c r="S150" s="54">
        <v>54</v>
      </c>
      <c r="T150" s="53" t="s">
        <v>1363</v>
      </c>
      <c r="U150" s="54">
        <v>31</v>
      </c>
    </row>
    <row r="151" spans="1:21" ht="54.75" hidden="1" customHeight="1" x14ac:dyDescent="0.25">
      <c r="A151" s="2" t="s">
        <v>571</v>
      </c>
      <c r="B151" s="3" t="s">
        <v>572</v>
      </c>
      <c r="C151" s="4">
        <v>1</v>
      </c>
      <c r="D151" s="4" t="s">
        <v>573</v>
      </c>
      <c r="E151" s="3" t="s">
        <v>574</v>
      </c>
      <c r="F151" s="3" t="s">
        <v>11</v>
      </c>
      <c r="G151" s="3" t="s">
        <v>43</v>
      </c>
      <c r="H151" s="3" t="s">
        <v>1381</v>
      </c>
      <c r="I151" s="4" t="s">
        <v>21</v>
      </c>
      <c r="J151" s="7">
        <v>22540</v>
      </c>
      <c r="K151" s="8">
        <v>42261</v>
      </c>
      <c r="L151" s="8">
        <v>12231</v>
      </c>
      <c r="M151" s="8">
        <v>1365</v>
      </c>
      <c r="N151" s="11">
        <v>2500</v>
      </c>
      <c r="O151" s="12">
        <v>45957</v>
      </c>
      <c r="P151" s="2" t="s">
        <v>1360</v>
      </c>
      <c r="Q151" s="52">
        <v>763</v>
      </c>
      <c r="R151" s="53" t="s">
        <v>1362</v>
      </c>
      <c r="S151" s="54">
        <v>54</v>
      </c>
      <c r="T151" s="53" t="s">
        <v>1363</v>
      </c>
      <c r="U151" s="54">
        <v>31</v>
      </c>
    </row>
    <row r="152" spans="1:21" ht="54.75" customHeight="1" x14ac:dyDescent="0.25">
      <c r="A152" s="2" t="s">
        <v>575</v>
      </c>
      <c r="B152" s="3" t="s">
        <v>576</v>
      </c>
      <c r="C152" s="4">
        <v>1</v>
      </c>
      <c r="D152" s="4" t="s">
        <v>577</v>
      </c>
      <c r="E152" s="3" t="s">
        <v>578</v>
      </c>
      <c r="F152" s="3" t="s">
        <v>29</v>
      </c>
      <c r="G152" s="3" t="s">
        <v>29</v>
      </c>
      <c r="H152" s="3" t="s">
        <v>1375</v>
      </c>
      <c r="I152" s="4" t="s">
        <v>21</v>
      </c>
      <c r="J152" s="7">
        <v>22540</v>
      </c>
      <c r="K152" s="8">
        <v>39787</v>
      </c>
      <c r="L152" s="8">
        <v>5662</v>
      </c>
      <c r="M152" s="8">
        <v>1365</v>
      </c>
      <c r="N152" s="11">
        <v>0</v>
      </c>
      <c r="O152" s="12"/>
      <c r="P152" t="s">
        <v>1359</v>
      </c>
      <c r="R152" s="53" t="s">
        <v>1362</v>
      </c>
      <c r="S152" s="54">
        <v>54</v>
      </c>
      <c r="T152" s="53" t="s">
        <v>1363</v>
      </c>
      <c r="U152" s="54">
        <v>31</v>
      </c>
    </row>
    <row r="153" spans="1:21" ht="54.75" hidden="1" customHeight="1" x14ac:dyDescent="0.25">
      <c r="A153" s="2" t="s">
        <v>579</v>
      </c>
      <c r="B153" s="3" t="s">
        <v>580</v>
      </c>
      <c r="C153" s="4">
        <v>2</v>
      </c>
      <c r="D153" s="4" t="s">
        <v>581</v>
      </c>
      <c r="E153" s="3" t="s">
        <v>582</v>
      </c>
      <c r="F153" s="3" t="s">
        <v>40</v>
      </c>
      <c r="G153" s="3" t="s">
        <v>41</v>
      </c>
      <c r="H153" s="3" t="s">
        <v>1375</v>
      </c>
      <c r="I153" s="4" t="s">
        <v>21</v>
      </c>
      <c r="J153" s="7">
        <v>22440</v>
      </c>
      <c r="K153" s="8">
        <v>35021</v>
      </c>
      <c r="L153" s="8">
        <v>5591</v>
      </c>
      <c r="M153" s="8">
        <v>1635</v>
      </c>
      <c r="N153" s="11">
        <v>5591</v>
      </c>
      <c r="O153" s="12">
        <v>45939</v>
      </c>
      <c r="P153" s="2" t="s">
        <v>1358</v>
      </c>
      <c r="Q153" s="52">
        <v>772</v>
      </c>
      <c r="R153" s="53" t="s">
        <v>1362</v>
      </c>
      <c r="S153" s="54">
        <v>54</v>
      </c>
      <c r="T153" s="53" t="s">
        <v>1363</v>
      </c>
      <c r="U153" s="54">
        <v>31</v>
      </c>
    </row>
    <row r="154" spans="1:21" ht="54.75" hidden="1" customHeight="1" x14ac:dyDescent="0.25">
      <c r="A154" s="2" t="s">
        <v>583</v>
      </c>
      <c r="B154" s="3" t="s">
        <v>584</v>
      </c>
      <c r="C154" s="4">
        <v>2</v>
      </c>
      <c r="D154" s="4" t="s">
        <v>585</v>
      </c>
      <c r="E154" s="3" t="s">
        <v>586</v>
      </c>
      <c r="F154" s="3" t="s">
        <v>29</v>
      </c>
      <c r="G154" s="3" t="s">
        <v>41</v>
      </c>
      <c r="H154" s="3" t="s">
        <v>1375</v>
      </c>
      <c r="I154" s="4" t="s">
        <v>21</v>
      </c>
      <c r="J154" s="7">
        <v>22365</v>
      </c>
      <c r="K154" s="8">
        <v>39057</v>
      </c>
      <c r="L154" s="8">
        <v>6627</v>
      </c>
      <c r="M154" s="8">
        <v>1410</v>
      </c>
      <c r="N154" s="11">
        <v>6627</v>
      </c>
      <c r="O154" s="12">
        <v>45960</v>
      </c>
      <c r="P154" s="2" t="s">
        <v>1361</v>
      </c>
      <c r="Q154" s="52">
        <v>732</v>
      </c>
      <c r="R154" s="53" t="s">
        <v>1362</v>
      </c>
      <c r="S154" s="54">
        <v>54</v>
      </c>
      <c r="T154" s="53" t="s">
        <v>1363</v>
      </c>
      <c r="U154" s="54">
        <v>31</v>
      </c>
    </row>
    <row r="155" spans="1:21" ht="54.75" hidden="1" customHeight="1" x14ac:dyDescent="0.25">
      <c r="A155" s="2" t="s">
        <v>587</v>
      </c>
      <c r="B155" s="3" t="s">
        <v>588</v>
      </c>
      <c r="C155" s="4">
        <v>1</v>
      </c>
      <c r="D155" s="4" t="s">
        <v>589</v>
      </c>
      <c r="E155" s="3" t="s">
        <v>590</v>
      </c>
      <c r="F155" s="3" t="s">
        <v>16</v>
      </c>
      <c r="G155" s="3" t="s">
        <v>16</v>
      </c>
      <c r="H155" s="3" t="s">
        <v>1375</v>
      </c>
      <c r="I155" s="4" t="s">
        <v>21</v>
      </c>
      <c r="J155" s="7">
        <v>22340</v>
      </c>
      <c r="K155" s="8">
        <v>34207</v>
      </c>
      <c r="L155" s="8">
        <v>9007</v>
      </c>
      <c r="M155" s="8">
        <v>1680</v>
      </c>
      <c r="N155" s="11">
        <v>0</v>
      </c>
      <c r="O155" s="12"/>
      <c r="P155" s="2" t="s">
        <v>1361</v>
      </c>
      <c r="Q155" s="52">
        <v>732</v>
      </c>
      <c r="R155" s="53" t="s">
        <v>1362</v>
      </c>
      <c r="S155" s="54">
        <v>54</v>
      </c>
      <c r="T155" s="53" t="s">
        <v>1363</v>
      </c>
      <c r="U155" s="54">
        <v>31</v>
      </c>
    </row>
    <row r="156" spans="1:21" ht="54.75" hidden="1" customHeight="1" x14ac:dyDescent="0.25">
      <c r="A156" s="2" t="s">
        <v>591</v>
      </c>
      <c r="B156" s="3" t="s">
        <v>592</v>
      </c>
      <c r="C156" s="4">
        <v>1</v>
      </c>
      <c r="D156" s="4" t="s">
        <v>593</v>
      </c>
      <c r="E156" s="3" t="s">
        <v>594</v>
      </c>
      <c r="F156" s="3" t="s">
        <v>43</v>
      </c>
      <c r="G156" s="3" t="s">
        <v>43</v>
      </c>
      <c r="H156" s="3" t="s">
        <v>1375</v>
      </c>
      <c r="I156" s="4" t="s">
        <v>21</v>
      </c>
      <c r="J156" s="7">
        <v>22210</v>
      </c>
      <c r="K156" s="8">
        <v>28486</v>
      </c>
      <c r="L156" s="8">
        <v>20146</v>
      </c>
      <c r="M156" s="8">
        <v>2780</v>
      </c>
      <c r="N156" s="11">
        <v>0</v>
      </c>
      <c r="O156" s="12"/>
      <c r="P156" s="2" t="s">
        <v>1358</v>
      </c>
      <c r="Q156" s="52">
        <v>772</v>
      </c>
      <c r="R156" s="53" t="s">
        <v>1362</v>
      </c>
      <c r="S156" s="54">
        <v>54</v>
      </c>
      <c r="T156" s="53" t="s">
        <v>1363</v>
      </c>
      <c r="U156" s="54">
        <v>31</v>
      </c>
    </row>
    <row r="157" spans="1:21" ht="54.75" hidden="1" customHeight="1" x14ac:dyDescent="0.25">
      <c r="A157" s="2" t="s">
        <v>595</v>
      </c>
      <c r="B157" s="3" t="s">
        <v>596</v>
      </c>
      <c r="C157" s="4">
        <v>1</v>
      </c>
      <c r="D157" s="4" t="s">
        <v>597</v>
      </c>
      <c r="E157" s="3" t="s">
        <v>598</v>
      </c>
      <c r="F157" s="3" t="s">
        <v>40</v>
      </c>
      <c r="G157" s="3" t="s">
        <v>41</v>
      </c>
      <c r="H157" s="3" t="s">
        <v>1375</v>
      </c>
      <c r="I157" s="4" t="s">
        <v>21</v>
      </c>
      <c r="J157" s="7">
        <v>22125</v>
      </c>
      <c r="K157" s="8">
        <v>37879</v>
      </c>
      <c r="L157" s="8">
        <v>3754</v>
      </c>
      <c r="M157" s="8">
        <v>1365</v>
      </c>
      <c r="N157" s="11">
        <v>3754</v>
      </c>
      <c r="O157" s="12">
        <v>45943</v>
      </c>
      <c r="P157" s="2" t="s">
        <v>1360</v>
      </c>
      <c r="Q157" s="52">
        <v>763</v>
      </c>
      <c r="R157" s="53" t="s">
        <v>1362</v>
      </c>
      <c r="S157" s="54">
        <v>54</v>
      </c>
      <c r="T157" s="53" t="s">
        <v>1363</v>
      </c>
      <c r="U157" s="54">
        <v>31</v>
      </c>
    </row>
    <row r="158" spans="1:21" ht="54.75" customHeight="1" x14ac:dyDescent="0.25">
      <c r="A158" s="2" t="s">
        <v>599</v>
      </c>
      <c r="B158" s="3" t="s">
        <v>600</v>
      </c>
      <c r="C158" s="4">
        <v>1</v>
      </c>
      <c r="D158" s="4" t="s">
        <v>601</v>
      </c>
      <c r="E158" s="3" t="s">
        <v>602</v>
      </c>
      <c r="F158" s="3" t="s">
        <v>40</v>
      </c>
      <c r="G158" s="3" t="s">
        <v>35</v>
      </c>
      <c r="H158" s="3" t="s">
        <v>1375</v>
      </c>
      <c r="I158" s="4" t="s">
        <v>21</v>
      </c>
      <c r="J158" s="7">
        <v>22125</v>
      </c>
      <c r="K158" s="8">
        <v>38602</v>
      </c>
      <c r="L158" s="8">
        <v>4477</v>
      </c>
      <c r="M158" s="8">
        <v>1365</v>
      </c>
      <c r="N158" s="11">
        <v>2000</v>
      </c>
      <c r="O158" s="12">
        <v>45955</v>
      </c>
      <c r="P158" t="s">
        <v>1359</v>
      </c>
      <c r="R158" s="53" t="s">
        <v>1362</v>
      </c>
      <c r="S158" s="54">
        <v>54</v>
      </c>
      <c r="T158" s="53" t="s">
        <v>1363</v>
      </c>
      <c r="U158" s="54">
        <v>31</v>
      </c>
    </row>
    <row r="159" spans="1:21" ht="54.75" hidden="1" customHeight="1" x14ac:dyDescent="0.25">
      <c r="A159" s="2" t="s">
        <v>603</v>
      </c>
      <c r="B159" s="3" t="s">
        <v>604</v>
      </c>
      <c r="C159" s="4">
        <v>1</v>
      </c>
      <c r="D159" s="4" t="s">
        <v>605</v>
      </c>
      <c r="E159" s="3" t="s">
        <v>606</v>
      </c>
      <c r="F159" s="3" t="s">
        <v>43</v>
      </c>
      <c r="G159" s="3" t="s">
        <v>43</v>
      </c>
      <c r="H159" s="3" t="s">
        <v>1375</v>
      </c>
      <c r="I159" s="4" t="s">
        <v>21</v>
      </c>
      <c r="J159" s="7">
        <v>21995</v>
      </c>
      <c r="K159" s="8">
        <v>32154</v>
      </c>
      <c r="L159" s="8">
        <v>14019</v>
      </c>
      <c r="M159" s="8">
        <v>2015</v>
      </c>
      <c r="N159" s="11">
        <v>0</v>
      </c>
      <c r="O159" s="12"/>
      <c r="P159" s="2" t="s">
        <v>1361</v>
      </c>
      <c r="Q159" s="52">
        <v>732</v>
      </c>
      <c r="R159" s="53" t="s">
        <v>1362</v>
      </c>
      <c r="S159" s="54">
        <v>54</v>
      </c>
      <c r="T159" s="53" t="s">
        <v>1363</v>
      </c>
      <c r="U159" s="54">
        <v>31</v>
      </c>
    </row>
    <row r="160" spans="1:21" ht="54.75" hidden="1" customHeight="1" x14ac:dyDescent="0.25">
      <c r="A160" s="2" t="s">
        <v>607</v>
      </c>
      <c r="B160" s="3" t="s">
        <v>608</v>
      </c>
      <c r="C160" s="4">
        <v>1</v>
      </c>
      <c r="D160" s="4" t="s">
        <v>609</v>
      </c>
      <c r="E160" s="3" t="s">
        <v>610</v>
      </c>
      <c r="F160" s="3" t="s">
        <v>40</v>
      </c>
      <c r="G160" s="3" t="s">
        <v>35</v>
      </c>
      <c r="H160" s="3" t="s">
        <v>1375</v>
      </c>
      <c r="I160" s="4" t="s">
        <v>21</v>
      </c>
      <c r="J160" s="7">
        <v>21695</v>
      </c>
      <c r="K160" s="8">
        <v>37429</v>
      </c>
      <c r="L160" s="8">
        <v>4669</v>
      </c>
      <c r="M160" s="8">
        <v>1365</v>
      </c>
      <c r="N160" s="11">
        <v>2100</v>
      </c>
      <c r="O160" s="12">
        <v>45941</v>
      </c>
      <c r="P160" s="2" t="s">
        <v>1358</v>
      </c>
      <c r="Q160" s="52">
        <v>772</v>
      </c>
      <c r="R160" s="53" t="s">
        <v>1362</v>
      </c>
      <c r="S160" s="54">
        <v>54</v>
      </c>
      <c r="T160" s="53" t="s">
        <v>1363</v>
      </c>
      <c r="U160" s="54">
        <v>31</v>
      </c>
    </row>
    <row r="161" spans="1:21" ht="54.75" hidden="1" customHeight="1" x14ac:dyDescent="0.25">
      <c r="A161" s="2" t="s">
        <v>611</v>
      </c>
      <c r="B161" s="3" t="s">
        <v>612</v>
      </c>
      <c r="C161" s="4">
        <v>1</v>
      </c>
      <c r="D161" s="4" t="s">
        <v>613</v>
      </c>
      <c r="E161" s="3" t="s">
        <v>614</v>
      </c>
      <c r="F161" s="3" t="s">
        <v>16</v>
      </c>
      <c r="G161" s="3" t="s">
        <v>16</v>
      </c>
      <c r="H161" s="3" t="s">
        <v>1375</v>
      </c>
      <c r="I161" s="4" t="s">
        <v>21</v>
      </c>
      <c r="J161" s="7">
        <v>21695</v>
      </c>
      <c r="K161" s="8">
        <v>38289</v>
      </c>
      <c r="L161" s="8">
        <v>8259</v>
      </c>
      <c r="M161" s="8">
        <v>1365</v>
      </c>
      <c r="N161" s="11">
        <v>0</v>
      </c>
      <c r="O161" s="12"/>
      <c r="P161" s="2" t="s">
        <v>1360</v>
      </c>
      <c r="Q161" s="52">
        <v>763</v>
      </c>
      <c r="R161" s="53" t="s">
        <v>1362</v>
      </c>
      <c r="S161" s="54">
        <v>54</v>
      </c>
      <c r="T161" s="53" t="s">
        <v>1363</v>
      </c>
      <c r="U161" s="54">
        <v>31</v>
      </c>
    </row>
    <row r="162" spans="1:21" ht="54.75" customHeight="1" x14ac:dyDescent="0.25">
      <c r="A162" s="2" t="s">
        <v>615</v>
      </c>
      <c r="B162" s="3" t="s">
        <v>616</v>
      </c>
      <c r="C162" s="4">
        <v>1</v>
      </c>
      <c r="D162" s="4" t="s">
        <v>617</v>
      </c>
      <c r="E162" s="3" t="s">
        <v>618</v>
      </c>
      <c r="F162" s="3" t="s">
        <v>43</v>
      </c>
      <c r="G162" s="3" t="s">
        <v>16</v>
      </c>
      <c r="H162" s="3" t="s">
        <v>1375</v>
      </c>
      <c r="I162" s="4" t="s">
        <v>21</v>
      </c>
      <c r="J162" s="7">
        <v>21605</v>
      </c>
      <c r="K162" s="8">
        <v>33468</v>
      </c>
      <c r="L162" s="8">
        <v>11628</v>
      </c>
      <c r="M162" s="8">
        <v>1680</v>
      </c>
      <c r="N162" s="11">
        <v>3500</v>
      </c>
      <c r="O162" s="12">
        <v>45956</v>
      </c>
      <c r="P162" t="s">
        <v>1359</v>
      </c>
      <c r="R162" s="53" t="s">
        <v>1362</v>
      </c>
      <c r="S162" s="54">
        <v>54</v>
      </c>
      <c r="T162" s="53" t="s">
        <v>1363</v>
      </c>
      <c r="U162" s="54">
        <v>31</v>
      </c>
    </row>
    <row r="163" spans="1:21" ht="54.75" hidden="1" customHeight="1" x14ac:dyDescent="0.25">
      <c r="A163" s="2" t="s">
        <v>619</v>
      </c>
      <c r="B163" s="3" t="s">
        <v>620</v>
      </c>
      <c r="C163" s="4">
        <v>1</v>
      </c>
      <c r="D163" s="4" t="s">
        <v>621</v>
      </c>
      <c r="E163" s="3" t="s">
        <v>622</v>
      </c>
      <c r="F163" s="3" t="s">
        <v>40</v>
      </c>
      <c r="G163" s="3" t="s">
        <v>40</v>
      </c>
      <c r="H163" s="3" t="s">
        <v>1375</v>
      </c>
      <c r="I163" s="4" t="s">
        <v>21</v>
      </c>
      <c r="J163" s="7">
        <v>21309</v>
      </c>
      <c r="K163" s="8">
        <v>31590</v>
      </c>
      <c r="L163" s="8">
        <v>5865</v>
      </c>
      <c r="M163" s="8">
        <v>1715</v>
      </c>
      <c r="N163" s="11">
        <v>0</v>
      </c>
      <c r="O163" s="12"/>
      <c r="P163" s="2" t="s">
        <v>1361</v>
      </c>
      <c r="Q163" s="52">
        <v>732</v>
      </c>
      <c r="R163" s="53" t="s">
        <v>1362</v>
      </c>
      <c r="S163" s="54">
        <v>54</v>
      </c>
      <c r="T163" s="53" t="s">
        <v>1363</v>
      </c>
      <c r="U163" s="54">
        <v>31</v>
      </c>
    </row>
    <row r="164" spans="1:21" ht="54.75" hidden="1" customHeight="1" x14ac:dyDescent="0.25">
      <c r="A164" s="2" t="s">
        <v>623</v>
      </c>
      <c r="B164" s="3" t="s">
        <v>624</v>
      </c>
      <c r="C164" s="4">
        <v>1</v>
      </c>
      <c r="D164" s="4" t="s">
        <v>625</v>
      </c>
      <c r="E164" s="3" t="s">
        <v>626</v>
      </c>
      <c r="F164" s="3" t="s">
        <v>43</v>
      </c>
      <c r="G164" s="3" t="s">
        <v>43</v>
      </c>
      <c r="H164" s="3" t="s">
        <v>1375</v>
      </c>
      <c r="I164" s="4" t="s">
        <v>21</v>
      </c>
      <c r="J164" s="7">
        <v>21108</v>
      </c>
      <c r="K164" s="8">
        <v>32272</v>
      </c>
      <c r="L164" s="8">
        <v>10432</v>
      </c>
      <c r="M164" s="8">
        <v>1680</v>
      </c>
      <c r="N164" s="11">
        <v>0</v>
      </c>
      <c r="O164" s="12"/>
      <c r="P164" s="2" t="s">
        <v>1358</v>
      </c>
      <c r="Q164" s="52">
        <v>772</v>
      </c>
      <c r="R164" s="53" t="s">
        <v>1362</v>
      </c>
      <c r="S164" s="54">
        <v>54</v>
      </c>
      <c r="T164" s="53" t="s">
        <v>1363</v>
      </c>
      <c r="U164" s="54">
        <v>31</v>
      </c>
    </row>
    <row r="165" spans="1:21" ht="54.75" hidden="1" customHeight="1" x14ac:dyDescent="0.25">
      <c r="A165" s="2" t="s">
        <v>627</v>
      </c>
      <c r="B165" s="3" t="s">
        <v>628</v>
      </c>
      <c r="C165" s="4">
        <v>1</v>
      </c>
      <c r="D165" s="4" t="s">
        <v>629</v>
      </c>
      <c r="E165" s="3" t="s">
        <v>630</v>
      </c>
      <c r="F165" s="3" t="s">
        <v>29</v>
      </c>
      <c r="G165" s="3" t="s">
        <v>40</v>
      </c>
      <c r="H165" s="3" t="s">
        <v>1375</v>
      </c>
      <c r="I165" s="4" t="s">
        <v>21</v>
      </c>
      <c r="J165" s="7">
        <v>20799</v>
      </c>
      <c r="K165" s="8">
        <v>35412</v>
      </c>
      <c r="L165" s="8">
        <v>4592</v>
      </c>
      <c r="M165" s="8">
        <v>1340</v>
      </c>
      <c r="N165" s="11">
        <v>50</v>
      </c>
      <c r="O165" s="12">
        <v>45958</v>
      </c>
      <c r="P165" s="2" t="s">
        <v>1360</v>
      </c>
      <c r="Q165" s="52">
        <v>763</v>
      </c>
      <c r="R165" s="53" t="s">
        <v>1362</v>
      </c>
      <c r="S165" s="54">
        <v>54</v>
      </c>
      <c r="T165" s="53" t="s">
        <v>1363</v>
      </c>
      <c r="U165" s="54">
        <v>31</v>
      </c>
    </row>
    <row r="166" spans="1:21" ht="54.75" customHeight="1" x14ac:dyDescent="0.25">
      <c r="A166" s="2" t="s">
        <v>631</v>
      </c>
      <c r="B166" s="3" t="s">
        <v>391</v>
      </c>
      <c r="C166" s="4">
        <v>4</v>
      </c>
      <c r="D166" s="4" t="s">
        <v>392</v>
      </c>
      <c r="E166" s="3" t="s">
        <v>393</v>
      </c>
      <c r="F166" s="3" t="s">
        <v>16</v>
      </c>
      <c r="G166" s="3" t="s">
        <v>41</v>
      </c>
      <c r="H166" s="3" t="s">
        <v>1375</v>
      </c>
      <c r="I166" s="4" t="s">
        <v>21</v>
      </c>
      <c r="J166" s="7">
        <v>20690</v>
      </c>
      <c r="K166" s="8">
        <v>39495</v>
      </c>
      <c r="L166" s="8">
        <v>7230</v>
      </c>
      <c r="M166" s="8">
        <v>1195</v>
      </c>
      <c r="N166" s="11">
        <v>7230</v>
      </c>
      <c r="O166" s="12">
        <v>45956</v>
      </c>
      <c r="P166" t="s">
        <v>1359</v>
      </c>
      <c r="R166" s="53" t="s">
        <v>1362</v>
      </c>
      <c r="S166" s="54">
        <v>54</v>
      </c>
      <c r="T166" s="53" t="s">
        <v>1363</v>
      </c>
      <c r="U166" s="54">
        <v>31</v>
      </c>
    </row>
    <row r="167" spans="1:21" ht="54.75" customHeight="1" x14ac:dyDescent="0.25">
      <c r="A167" s="2" t="s">
        <v>632</v>
      </c>
      <c r="B167" s="3" t="s">
        <v>633</v>
      </c>
      <c r="C167" s="4">
        <v>1</v>
      </c>
      <c r="D167" s="4" t="s">
        <v>634</v>
      </c>
      <c r="E167" s="3" t="s">
        <v>635</v>
      </c>
      <c r="F167" s="3" t="s">
        <v>29</v>
      </c>
      <c r="G167" s="3" t="s">
        <v>29</v>
      </c>
      <c r="H167" s="3" t="s">
        <v>1375</v>
      </c>
      <c r="I167" s="4" t="s">
        <v>21</v>
      </c>
      <c r="J167" s="7">
        <v>20510</v>
      </c>
      <c r="K167" s="8">
        <v>28331</v>
      </c>
      <c r="L167" s="8">
        <v>5851</v>
      </c>
      <c r="M167" s="8">
        <v>1405</v>
      </c>
      <c r="N167" s="11">
        <v>0</v>
      </c>
      <c r="O167" s="12"/>
      <c r="P167" t="s">
        <v>1359</v>
      </c>
      <c r="R167" s="53" t="s">
        <v>1362</v>
      </c>
      <c r="S167" s="54">
        <v>54</v>
      </c>
      <c r="T167" s="53" t="s">
        <v>1363</v>
      </c>
      <c r="U167" s="54">
        <v>31</v>
      </c>
    </row>
    <row r="168" spans="1:21" ht="54.75" hidden="1" customHeight="1" x14ac:dyDescent="0.25">
      <c r="A168" s="2" t="s">
        <v>636</v>
      </c>
      <c r="B168" s="3" t="s">
        <v>637</v>
      </c>
      <c r="C168" s="4">
        <v>1</v>
      </c>
      <c r="D168" s="4" t="s">
        <v>638</v>
      </c>
      <c r="E168" s="3" t="s">
        <v>639</v>
      </c>
      <c r="F168" s="3" t="s">
        <v>43</v>
      </c>
      <c r="G168" s="3" t="s">
        <v>43</v>
      </c>
      <c r="H168" s="3" t="s">
        <v>1375</v>
      </c>
      <c r="I168" s="4" t="s">
        <v>21</v>
      </c>
      <c r="J168" s="7">
        <v>20470</v>
      </c>
      <c r="K168" s="8">
        <v>29015</v>
      </c>
      <c r="L168" s="8">
        <v>12895</v>
      </c>
      <c r="M168" s="8">
        <v>2015</v>
      </c>
      <c r="N168" s="11">
        <v>0</v>
      </c>
      <c r="O168" s="12"/>
      <c r="P168" s="2" t="s">
        <v>1361</v>
      </c>
      <c r="Q168" s="52">
        <v>732</v>
      </c>
      <c r="R168" s="53" t="s">
        <v>1362</v>
      </c>
      <c r="S168" s="54">
        <v>54</v>
      </c>
      <c r="T168" s="53" t="s">
        <v>1363</v>
      </c>
      <c r="U168" s="54">
        <v>31</v>
      </c>
    </row>
    <row r="169" spans="1:21" ht="54.75" hidden="1" customHeight="1" x14ac:dyDescent="0.25">
      <c r="A169" s="2" t="s">
        <v>640</v>
      </c>
      <c r="B169" s="3" t="s">
        <v>641</v>
      </c>
      <c r="C169" s="4">
        <v>2</v>
      </c>
      <c r="D169" s="4" t="s">
        <v>642</v>
      </c>
      <c r="E169" s="3" t="s">
        <v>643</v>
      </c>
      <c r="F169" s="3" t="s">
        <v>40</v>
      </c>
      <c r="G169" s="3" t="s">
        <v>40</v>
      </c>
      <c r="H169" s="3" t="s">
        <v>1375</v>
      </c>
      <c r="I169" s="4" t="s">
        <v>21</v>
      </c>
      <c r="J169" s="7">
        <v>19790</v>
      </c>
      <c r="K169" s="8">
        <v>31969</v>
      </c>
      <c r="L169" s="8">
        <v>4669</v>
      </c>
      <c r="M169" s="8">
        <v>1365</v>
      </c>
      <c r="N169" s="11">
        <v>0</v>
      </c>
      <c r="O169" s="12"/>
      <c r="P169" s="2" t="s">
        <v>1358</v>
      </c>
      <c r="Q169" s="52">
        <v>772</v>
      </c>
      <c r="R169" s="53" t="s">
        <v>1362</v>
      </c>
      <c r="S169" s="54">
        <v>54</v>
      </c>
      <c r="T169" s="53" t="s">
        <v>1363</v>
      </c>
      <c r="U169" s="54">
        <v>31</v>
      </c>
    </row>
    <row r="170" spans="1:21" ht="54.75" hidden="1" customHeight="1" x14ac:dyDescent="0.25">
      <c r="A170" s="2" t="s">
        <v>644</v>
      </c>
      <c r="B170" s="3" t="s">
        <v>641</v>
      </c>
      <c r="C170" s="4">
        <v>2</v>
      </c>
      <c r="D170" s="4" t="s">
        <v>642</v>
      </c>
      <c r="E170" s="3" t="s">
        <v>643</v>
      </c>
      <c r="F170" s="3" t="s">
        <v>40</v>
      </c>
      <c r="G170" s="3" t="s">
        <v>40</v>
      </c>
      <c r="H170" s="3" t="s">
        <v>1375</v>
      </c>
      <c r="I170" s="4" t="s">
        <v>21</v>
      </c>
      <c r="J170" s="7">
        <v>19790</v>
      </c>
      <c r="K170" s="8">
        <v>31969</v>
      </c>
      <c r="L170" s="8">
        <v>4669</v>
      </c>
      <c r="M170" s="8">
        <v>1365</v>
      </c>
      <c r="N170" s="11">
        <v>0</v>
      </c>
      <c r="O170" s="12"/>
      <c r="P170" s="2" t="s">
        <v>1358</v>
      </c>
      <c r="Q170" s="52">
        <v>772</v>
      </c>
      <c r="R170" s="53" t="s">
        <v>1362</v>
      </c>
      <c r="S170" s="54">
        <v>54</v>
      </c>
      <c r="T170" s="53" t="s">
        <v>1363</v>
      </c>
      <c r="U170" s="54">
        <v>31</v>
      </c>
    </row>
    <row r="171" spans="1:21" ht="54.75" hidden="1" customHeight="1" x14ac:dyDescent="0.25">
      <c r="A171" s="2" t="s">
        <v>645</v>
      </c>
      <c r="B171" s="3" t="s">
        <v>646</v>
      </c>
      <c r="C171" s="4">
        <v>1</v>
      </c>
      <c r="D171" s="4" t="s">
        <v>647</v>
      </c>
      <c r="E171" s="3" t="s">
        <v>648</v>
      </c>
      <c r="F171" s="3" t="s">
        <v>16</v>
      </c>
      <c r="G171" s="3" t="s">
        <v>16</v>
      </c>
      <c r="H171" s="3" t="s">
        <v>1375</v>
      </c>
      <c r="I171" s="4" t="s">
        <v>21</v>
      </c>
      <c r="J171" s="7">
        <v>19790</v>
      </c>
      <c r="K171" s="8">
        <v>31940</v>
      </c>
      <c r="L171" s="8">
        <v>7370</v>
      </c>
      <c r="M171" s="8">
        <v>1365</v>
      </c>
      <c r="N171" s="11">
        <v>0</v>
      </c>
      <c r="O171" s="12"/>
      <c r="P171" s="2" t="s">
        <v>1358</v>
      </c>
      <c r="Q171" s="52">
        <v>772</v>
      </c>
      <c r="R171" s="53" t="s">
        <v>1362</v>
      </c>
      <c r="S171" s="54">
        <v>54</v>
      </c>
      <c r="T171" s="53" t="s">
        <v>1363</v>
      </c>
      <c r="U171" s="54">
        <v>31</v>
      </c>
    </row>
    <row r="172" spans="1:21" ht="54.75" hidden="1" customHeight="1" x14ac:dyDescent="0.25">
      <c r="A172" s="2" t="s">
        <v>649</v>
      </c>
      <c r="B172" s="3" t="s">
        <v>650</v>
      </c>
      <c r="C172" s="4">
        <v>5</v>
      </c>
      <c r="D172" s="4" t="s">
        <v>651</v>
      </c>
      <c r="E172" s="3" t="s">
        <v>652</v>
      </c>
      <c r="F172" s="3" t="s">
        <v>16</v>
      </c>
      <c r="G172" s="3" t="s">
        <v>16</v>
      </c>
      <c r="H172" s="3" t="s">
        <v>1375</v>
      </c>
      <c r="I172" s="4" t="s">
        <v>21</v>
      </c>
      <c r="J172" s="7">
        <v>19780</v>
      </c>
      <c r="K172" s="8">
        <v>28310</v>
      </c>
      <c r="L172" s="8">
        <v>12190</v>
      </c>
      <c r="M172" s="8">
        <v>2015</v>
      </c>
      <c r="N172" s="11">
        <v>0</v>
      </c>
      <c r="O172" s="12"/>
      <c r="P172" s="2" t="s">
        <v>1360</v>
      </c>
      <c r="Q172" s="52">
        <v>763</v>
      </c>
      <c r="R172" s="53" t="s">
        <v>1362</v>
      </c>
      <c r="S172" s="54">
        <v>54</v>
      </c>
      <c r="T172" s="53" t="s">
        <v>1363</v>
      </c>
      <c r="U172" s="54">
        <v>31</v>
      </c>
    </row>
    <row r="173" spans="1:21" ht="54.75" hidden="1" customHeight="1" x14ac:dyDescent="0.25">
      <c r="A173" s="2" t="s">
        <v>653</v>
      </c>
      <c r="B173" s="3" t="s">
        <v>654</v>
      </c>
      <c r="C173" s="4">
        <v>1</v>
      </c>
      <c r="D173" s="4" t="s">
        <v>655</v>
      </c>
      <c r="E173" s="3" t="s">
        <v>656</v>
      </c>
      <c r="F173" s="3" t="s">
        <v>16</v>
      </c>
      <c r="G173" s="3" t="s">
        <v>35</v>
      </c>
      <c r="H173" s="3" t="s">
        <v>1375</v>
      </c>
      <c r="I173" s="4" t="s">
        <v>21</v>
      </c>
      <c r="J173" s="7">
        <v>19765</v>
      </c>
      <c r="K173" s="8">
        <v>26846</v>
      </c>
      <c r="L173" s="8">
        <v>10726</v>
      </c>
      <c r="M173" s="8">
        <v>2015</v>
      </c>
      <c r="N173" s="11">
        <v>6713</v>
      </c>
      <c r="O173" s="12">
        <v>45946</v>
      </c>
      <c r="P173" s="2" t="s">
        <v>1360</v>
      </c>
      <c r="Q173" s="52">
        <v>763</v>
      </c>
      <c r="R173" s="53" t="s">
        <v>1362</v>
      </c>
      <c r="S173" s="54">
        <v>54</v>
      </c>
      <c r="T173" s="53" t="s">
        <v>1363</v>
      </c>
      <c r="U173" s="54">
        <v>31</v>
      </c>
    </row>
    <row r="174" spans="1:21" ht="54.75" customHeight="1" x14ac:dyDescent="0.25">
      <c r="A174" s="2" t="s">
        <v>657</v>
      </c>
      <c r="B174" s="3" t="s">
        <v>658</v>
      </c>
      <c r="C174" s="4">
        <v>1</v>
      </c>
      <c r="D174" s="4" t="s">
        <v>659</v>
      </c>
      <c r="E174" s="3" t="s">
        <v>660</v>
      </c>
      <c r="F174" s="3" t="s">
        <v>11</v>
      </c>
      <c r="G174" s="3" t="s">
        <v>11</v>
      </c>
      <c r="H174" s="3" t="s">
        <v>1381</v>
      </c>
      <c r="I174" s="4" t="s">
        <v>21</v>
      </c>
      <c r="J174" s="7">
        <v>19490</v>
      </c>
      <c r="K174" s="8">
        <v>39377</v>
      </c>
      <c r="L174" s="8">
        <v>9812</v>
      </c>
      <c r="M174" s="8">
        <v>1095</v>
      </c>
      <c r="N174" s="11">
        <v>0</v>
      </c>
      <c r="O174" s="12"/>
      <c r="P174" t="s">
        <v>1359</v>
      </c>
      <c r="R174" s="53" t="s">
        <v>1362</v>
      </c>
      <c r="S174" s="54">
        <v>54</v>
      </c>
      <c r="T174" s="53" t="s">
        <v>1363</v>
      </c>
      <c r="U174" s="54">
        <v>31</v>
      </c>
    </row>
    <row r="175" spans="1:21" ht="54.75" hidden="1" customHeight="1" x14ac:dyDescent="0.25">
      <c r="A175" s="2" t="s">
        <v>661</v>
      </c>
      <c r="B175" s="3" t="s">
        <v>342</v>
      </c>
      <c r="C175" s="4">
        <v>3</v>
      </c>
      <c r="D175" s="4" t="s">
        <v>343</v>
      </c>
      <c r="E175" s="3" t="s">
        <v>344</v>
      </c>
      <c r="F175" s="3" t="s">
        <v>43</v>
      </c>
      <c r="G175" s="3" t="s">
        <v>43</v>
      </c>
      <c r="H175" s="3" t="s">
        <v>1375</v>
      </c>
      <c r="I175" s="4" t="s">
        <v>21</v>
      </c>
      <c r="J175" s="7">
        <v>19330</v>
      </c>
      <c r="K175" s="8">
        <v>31683</v>
      </c>
      <c r="L175" s="8">
        <v>10533</v>
      </c>
      <c r="M175" s="8">
        <v>1410</v>
      </c>
      <c r="N175" s="11">
        <v>0</v>
      </c>
      <c r="O175" s="12"/>
      <c r="P175" s="2" t="s">
        <v>1361</v>
      </c>
      <c r="Q175" s="52">
        <v>732</v>
      </c>
      <c r="R175" s="53" t="s">
        <v>1362</v>
      </c>
      <c r="S175" s="54">
        <v>54</v>
      </c>
      <c r="T175" s="53" t="s">
        <v>1363</v>
      </c>
      <c r="U175" s="54">
        <v>31</v>
      </c>
    </row>
    <row r="176" spans="1:21" ht="54.75" hidden="1" customHeight="1" x14ac:dyDescent="0.25">
      <c r="A176" s="2" t="s">
        <v>662</v>
      </c>
      <c r="B176" s="3" t="s">
        <v>663</v>
      </c>
      <c r="C176" s="4">
        <v>1</v>
      </c>
      <c r="D176" s="4" t="s">
        <v>664</v>
      </c>
      <c r="E176" s="3" t="s">
        <v>665</v>
      </c>
      <c r="F176" s="3" t="s">
        <v>29</v>
      </c>
      <c r="G176" s="3" t="s">
        <v>29</v>
      </c>
      <c r="H176" s="3" t="s">
        <v>1375</v>
      </c>
      <c r="I176" s="4" t="s">
        <v>21</v>
      </c>
      <c r="J176" s="7">
        <v>19250</v>
      </c>
      <c r="K176" s="8">
        <v>24948</v>
      </c>
      <c r="L176" s="8">
        <v>15228</v>
      </c>
      <c r="M176" s="8">
        <v>3240</v>
      </c>
      <c r="N176" s="11">
        <v>0</v>
      </c>
      <c r="O176" s="12"/>
      <c r="P176" s="2" t="s">
        <v>1361</v>
      </c>
      <c r="Q176" s="52">
        <v>732</v>
      </c>
      <c r="R176" s="53" t="s">
        <v>1362</v>
      </c>
      <c r="S176" s="54">
        <v>54</v>
      </c>
      <c r="T176" s="53" t="s">
        <v>1363</v>
      </c>
      <c r="U176" s="54">
        <v>31</v>
      </c>
    </row>
    <row r="177" spans="1:21" ht="54.75" hidden="1" customHeight="1" x14ac:dyDescent="0.25">
      <c r="A177" s="2" t="s">
        <v>666</v>
      </c>
      <c r="B177" s="3" t="s">
        <v>667</v>
      </c>
      <c r="C177" s="4">
        <v>3</v>
      </c>
      <c r="D177" s="4" t="s">
        <v>668</v>
      </c>
      <c r="E177" s="3" t="s">
        <v>669</v>
      </c>
      <c r="F177" s="3" t="s">
        <v>43</v>
      </c>
      <c r="G177" s="3" t="s">
        <v>16</v>
      </c>
      <c r="H177" s="3" t="s">
        <v>1375</v>
      </c>
      <c r="I177" s="4" t="s">
        <v>21</v>
      </c>
      <c r="J177" s="7">
        <v>19220</v>
      </c>
      <c r="K177" s="8">
        <v>37728</v>
      </c>
      <c r="L177" s="8">
        <v>8163</v>
      </c>
      <c r="M177" s="8">
        <v>1095</v>
      </c>
      <c r="N177" s="11">
        <v>1538</v>
      </c>
      <c r="O177" s="12">
        <v>45954</v>
      </c>
      <c r="P177" s="2" t="s">
        <v>1358</v>
      </c>
      <c r="Q177" s="52">
        <v>772</v>
      </c>
      <c r="R177" s="53" t="s">
        <v>1362</v>
      </c>
      <c r="S177" s="54">
        <v>54</v>
      </c>
      <c r="T177" s="53" t="s">
        <v>1363</v>
      </c>
      <c r="U177" s="54">
        <v>31</v>
      </c>
    </row>
    <row r="178" spans="1:21" ht="54.75" hidden="1" customHeight="1" x14ac:dyDescent="0.25">
      <c r="A178" s="2" t="s">
        <v>670</v>
      </c>
      <c r="B178" s="3" t="s">
        <v>671</v>
      </c>
      <c r="C178" s="4">
        <v>1</v>
      </c>
      <c r="D178" s="4" t="s">
        <v>672</v>
      </c>
      <c r="E178" s="3" t="s">
        <v>673</v>
      </c>
      <c r="F178" s="3" t="s">
        <v>29</v>
      </c>
      <c r="G178" s="3" t="s">
        <v>40</v>
      </c>
      <c r="H178" s="3" t="s">
        <v>1375</v>
      </c>
      <c r="I178" s="4" t="s">
        <v>21</v>
      </c>
      <c r="J178" s="7">
        <v>19205</v>
      </c>
      <c r="K178" s="8">
        <v>27571</v>
      </c>
      <c r="L178" s="8">
        <v>7411</v>
      </c>
      <c r="M178" s="8">
        <v>1680</v>
      </c>
      <c r="N178" s="11">
        <v>1700</v>
      </c>
      <c r="O178" s="12">
        <v>45934</v>
      </c>
      <c r="P178" s="2" t="s">
        <v>1358</v>
      </c>
      <c r="Q178" s="52">
        <v>772</v>
      </c>
      <c r="R178" s="53" t="s">
        <v>1362</v>
      </c>
      <c r="S178" s="54">
        <v>54</v>
      </c>
      <c r="T178" s="53" t="s">
        <v>1363</v>
      </c>
      <c r="U178" s="54">
        <v>31</v>
      </c>
    </row>
    <row r="179" spans="1:21" ht="54.75" hidden="1" customHeight="1" x14ac:dyDescent="0.25">
      <c r="A179" s="2" t="s">
        <v>674</v>
      </c>
      <c r="B179" s="3" t="s">
        <v>106</v>
      </c>
      <c r="C179" s="4">
        <v>2</v>
      </c>
      <c r="D179" s="4" t="s">
        <v>107</v>
      </c>
      <c r="E179" s="3" t="s">
        <v>108</v>
      </c>
      <c r="F179" s="3" t="s">
        <v>29</v>
      </c>
      <c r="G179" s="3" t="s">
        <v>35</v>
      </c>
      <c r="H179" s="3" t="s">
        <v>1375</v>
      </c>
      <c r="I179" s="4" t="s">
        <v>21</v>
      </c>
      <c r="J179" s="7">
        <v>19205</v>
      </c>
      <c r="K179" s="8">
        <v>28056</v>
      </c>
      <c r="L179" s="8">
        <v>7896</v>
      </c>
      <c r="M179" s="8">
        <v>1680</v>
      </c>
      <c r="N179" s="11">
        <v>4183</v>
      </c>
      <c r="O179" s="12">
        <v>45953</v>
      </c>
      <c r="P179" s="2" t="s">
        <v>1358</v>
      </c>
      <c r="Q179" s="52">
        <v>772</v>
      </c>
      <c r="R179" s="53" t="s">
        <v>1362</v>
      </c>
      <c r="S179" s="54">
        <v>54</v>
      </c>
      <c r="T179" s="53" t="s">
        <v>1363</v>
      </c>
      <c r="U179" s="54">
        <v>31</v>
      </c>
    </row>
    <row r="180" spans="1:21" ht="54.75" hidden="1" customHeight="1" x14ac:dyDescent="0.25">
      <c r="A180" s="2" t="s">
        <v>675</v>
      </c>
      <c r="B180" s="3" t="s">
        <v>676</v>
      </c>
      <c r="C180" s="4">
        <v>1</v>
      </c>
      <c r="D180" s="4" t="s">
        <v>677</v>
      </c>
      <c r="E180" s="3" t="s">
        <v>678</v>
      </c>
      <c r="F180" s="3" t="s">
        <v>16</v>
      </c>
      <c r="G180" s="3" t="s">
        <v>35</v>
      </c>
      <c r="H180" s="3" t="s">
        <v>1375</v>
      </c>
      <c r="I180" s="4" t="s">
        <v>21</v>
      </c>
      <c r="J180" s="7">
        <v>19111</v>
      </c>
      <c r="K180" s="8">
        <v>24826</v>
      </c>
      <c r="L180" s="8">
        <v>12751</v>
      </c>
      <c r="M180" s="8">
        <v>2415</v>
      </c>
      <c r="N180" s="11">
        <v>7500</v>
      </c>
      <c r="O180" s="12">
        <v>45958</v>
      </c>
      <c r="P180" s="2" t="s">
        <v>1360</v>
      </c>
      <c r="Q180" s="52">
        <v>763</v>
      </c>
      <c r="R180" s="53" t="s">
        <v>1362</v>
      </c>
      <c r="S180" s="54">
        <v>54</v>
      </c>
      <c r="T180" s="53" t="s">
        <v>1363</v>
      </c>
      <c r="U180" s="54">
        <v>31</v>
      </c>
    </row>
    <row r="181" spans="1:21" ht="54.75" customHeight="1" x14ac:dyDescent="0.25">
      <c r="A181" s="2" t="s">
        <v>679</v>
      </c>
      <c r="B181" s="3" t="s">
        <v>680</v>
      </c>
      <c r="C181" s="4">
        <v>1</v>
      </c>
      <c r="D181" s="4" t="s">
        <v>681</v>
      </c>
      <c r="E181" s="3" t="s">
        <v>682</v>
      </c>
      <c r="F181" s="3" t="s">
        <v>11</v>
      </c>
      <c r="G181" s="3" t="s">
        <v>11</v>
      </c>
      <c r="H181" s="3" t="s">
        <v>1381</v>
      </c>
      <c r="I181" s="4" t="s">
        <v>21</v>
      </c>
      <c r="J181" s="7">
        <v>18940</v>
      </c>
      <c r="K181" s="8">
        <v>36832</v>
      </c>
      <c r="L181" s="8">
        <v>9457</v>
      </c>
      <c r="M181" s="8">
        <v>1095</v>
      </c>
      <c r="N181" s="11">
        <v>0</v>
      </c>
      <c r="O181" s="12"/>
      <c r="P181" t="s">
        <v>1359</v>
      </c>
      <c r="R181" s="53" t="s">
        <v>1362</v>
      </c>
      <c r="S181" s="54">
        <v>54</v>
      </c>
      <c r="T181" s="53" t="s">
        <v>1363</v>
      </c>
      <c r="U181" s="54">
        <v>31</v>
      </c>
    </row>
    <row r="182" spans="1:21" ht="54.75" hidden="1" customHeight="1" x14ac:dyDescent="0.25">
      <c r="A182" s="2" t="s">
        <v>683</v>
      </c>
      <c r="B182" s="3" t="s">
        <v>684</v>
      </c>
      <c r="C182" s="4">
        <v>1</v>
      </c>
      <c r="D182" s="4" t="s">
        <v>685</v>
      </c>
      <c r="E182" s="3" t="s">
        <v>686</v>
      </c>
      <c r="F182" s="3" t="s">
        <v>43</v>
      </c>
      <c r="G182" s="3" t="s">
        <v>16</v>
      </c>
      <c r="H182" s="3" t="s">
        <v>1375</v>
      </c>
      <c r="I182" s="4" t="s">
        <v>21</v>
      </c>
      <c r="J182" s="7">
        <v>18940</v>
      </c>
      <c r="K182" s="8">
        <v>35929</v>
      </c>
      <c r="L182" s="8">
        <v>7459</v>
      </c>
      <c r="M182" s="8">
        <v>1095</v>
      </c>
      <c r="N182" s="11">
        <v>1200</v>
      </c>
      <c r="O182" s="12">
        <v>45946</v>
      </c>
      <c r="P182" s="2" t="s">
        <v>1361</v>
      </c>
      <c r="Q182" s="52">
        <v>732</v>
      </c>
      <c r="R182" s="53" t="s">
        <v>1362</v>
      </c>
      <c r="S182" s="54">
        <v>54</v>
      </c>
      <c r="T182" s="53" t="s">
        <v>1363</v>
      </c>
      <c r="U182" s="54">
        <v>31</v>
      </c>
    </row>
    <row r="183" spans="1:21" ht="54.75" hidden="1" customHeight="1" x14ac:dyDescent="0.25">
      <c r="A183" s="2" t="s">
        <v>687</v>
      </c>
      <c r="B183" s="3" t="s">
        <v>688</v>
      </c>
      <c r="C183" s="4">
        <v>1</v>
      </c>
      <c r="D183" s="4" t="s">
        <v>689</v>
      </c>
      <c r="E183" s="3" t="s">
        <v>690</v>
      </c>
      <c r="F183" s="3" t="s">
        <v>11</v>
      </c>
      <c r="G183" s="3" t="s">
        <v>43</v>
      </c>
      <c r="H183" s="3" t="s">
        <v>1381</v>
      </c>
      <c r="I183" s="4" t="s">
        <v>21</v>
      </c>
      <c r="J183" s="7">
        <v>18930</v>
      </c>
      <c r="K183" s="8">
        <v>35840</v>
      </c>
      <c r="L183" s="8">
        <v>8465</v>
      </c>
      <c r="M183" s="8">
        <v>1095</v>
      </c>
      <c r="N183" s="11">
        <v>1000</v>
      </c>
      <c r="O183" s="12">
        <v>45944</v>
      </c>
      <c r="P183" s="2" t="s">
        <v>1358</v>
      </c>
      <c r="Q183" s="52">
        <v>772</v>
      </c>
      <c r="R183" s="53" t="s">
        <v>1362</v>
      </c>
      <c r="S183" s="54">
        <v>54</v>
      </c>
      <c r="T183" s="53" t="s">
        <v>1363</v>
      </c>
      <c r="U183" s="54">
        <v>31</v>
      </c>
    </row>
    <row r="184" spans="1:21" ht="54.75" hidden="1" customHeight="1" x14ac:dyDescent="0.25">
      <c r="A184" s="2" t="s">
        <v>691</v>
      </c>
      <c r="B184" s="3" t="s">
        <v>692</v>
      </c>
      <c r="C184" s="4">
        <v>1</v>
      </c>
      <c r="D184" s="4" t="s">
        <v>693</v>
      </c>
      <c r="E184" s="3" t="s">
        <v>694</v>
      </c>
      <c r="F184" s="3" t="s">
        <v>43</v>
      </c>
      <c r="G184" s="3" t="s">
        <v>40</v>
      </c>
      <c r="H184" s="3" t="s">
        <v>1375</v>
      </c>
      <c r="I184" s="4" t="s">
        <v>21</v>
      </c>
      <c r="J184" s="7">
        <v>18645</v>
      </c>
      <c r="K184" s="8">
        <v>35555</v>
      </c>
      <c r="L184" s="8">
        <v>8180</v>
      </c>
      <c r="M184" s="8">
        <v>1095</v>
      </c>
      <c r="N184" s="11">
        <v>5000</v>
      </c>
      <c r="O184" s="12">
        <v>45948</v>
      </c>
      <c r="P184" s="2" t="s">
        <v>1360</v>
      </c>
      <c r="Q184" s="52">
        <v>763</v>
      </c>
      <c r="R184" s="53" t="s">
        <v>1362</v>
      </c>
      <c r="S184" s="54">
        <v>54</v>
      </c>
      <c r="T184" s="53" t="s">
        <v>1363</v>
      </c>
      <c r="U184" s="54">
        <v>31</v>
      </c>
    </row>
    <row r="185" spans="1:21" ht="54.75" hidden="1" customHeight="1" x14ac:dyDescent="0.25">
      <c r="A185" s="2" t="s">
        <v>695</v>
      </c>
      <c r="B185" s="3" t="s">
        <v>420</v>
      </c>
      <c r="C185" s="4">
        <v>3</v>
      </c>
      <c r="D185" s="4" t="s">
        <v>421</v>
      </c>
      <c r="E185" s="3" t="s">
        <v>422</v>
      </c>
      <c r="F185" s="3" t="s">
        <v>43</v>
      </c>
      <c r="G185" s="3" t="s">
        <v>43</v>
      </c>
      <c r="H185" s="3" t="s">
        <v>1375</v>
      </c>
      <c r="I185" s="4" t="s">
        <v>21</v>
      </c>
      <c r="J185" s="7">
        <v>18645</v>
      </c>
      <c r="K185" s="8">
        <v>35555</v>
      </c>
      <c r="L185" s="8">
        <v>8180</v>
      </c>
      <c r="M185" s="8">
        <v>1095</v>
      </c>
      <c r="N185" s="11">
        <v>0</v>
      </c>
      <c r="O185" s="12"/>
      <c r="P185" s="2" t="s">
        <v>1358</v>
      </c>
      <c r="Q185" s="52">
        <v>772</v>
      </c>
      <c r="R185" s="53" t="s">
        <v>1362</v>
      </c>
      <c r="S185" s="54">
        <v>54</v>
      </c>
      <c r="T185" s="53" t="s">
        <v>1363</v>
      </c>
      <c r="U185" s="54">
        <v>31</v>
      </c>
    </row>
    <row r="186" spans="1:21" ht="54.75" customHeight="1" x14ac:dyDescent="0.25">
      <c r="A186" s="2" t="s">
        <v>696</v>
      </c>
      <c r="B186" s="3" t="s">
        <v>697</v>
      </c>
      <c r="C186" s="4">
        <v>1</v>
      </c>
      <c r="D186" s="4" t="s">
        <v>698</v>
      </c>
      <c r="E186" s="3" t="s">
        <v>699</v>
      </c>
      <c r="F186" s="3" t="s">
        <v>43</v>
      </c>
      <c r="G186" s="3" t="s">
        <v>29</v>
      </c>
      <c r="H186" s="3" t="s">
        <v>1375</v>
      </c>
      <c r="I186" s="4" t="s">
        <v>21</v>
      </c>
      <c r="J186" s="7">
        <v>18625</v>
      </c>
      <c r="K186" s="8">
        <v>26411</v>
      </c>
      <c r="L186" s="8">
        <v>20821</v>
      </c>
      <c r="M186" s="8">
        <v>2795</v>
      </c>
      <c r="N186" s="11">
        <v>0</v>
      </c>
      <c r="O186" s="12"/>
      <c r="P186" t="s">
        <v>1359</v>
      </c>
      <c r="R186" s="53" t="s">
        <v>1362</v>
      </c>
      <c r="S186" s="54">
        <v>54</v>
      </c>
      <c r="T186" s="53" t="s">
        <v>1363</v>
      </c>
      <c r="U186" s="54">
        <v>31</v>
      </c>
    </row>
    <row r="187" spans="1:21" ht="54.75" hidden="1" customHeight="1" x14ac:dyDescent="0.25">
      <c r="A187" s="2" t="s">
        <v>700</v>
      </c>
      <c r="B187" s="3" t="s">
        <v>701</v>
      </c>
      <c r="C187" s="4">
        <v>2</v>
      </c>
      <c r="D187" s="4" t="s">
        <v>702</v>
      </c>
      <c r="E187" s="3" t="s">
        <v>703</v>
      </c>
      <c r="F187" s="3" t="s">
        <v>40</v>
      </c>
      <c r="G187" s="3" t="s">
        <v>35</v>
      </c>
      <c r="H187" s="3" t="s">
        <v>1375</v>
      </c>
      <c r="I187" s="4" t="s">
        <v>21</v>
      </c>
      <c r="J187" s="7">
        <v>18585</v>
      </c>
      <c r="K187" s="8">
        <v>24737</v>
      </c>
      <c r="L187" s="8">
        <v>6602</v>
      </c>
      <c r="M187" s="8">
        <v>2015</v>
      </c>
      <c r="N187" s="11">
        <v>2185</v>
      </c>
      <c r="O187" s="12">
        <v>45953</v>
      </c>
      <c r="P187" s="2" t="s">
        <v>1358</v>
      </c>
      <c r="Q187" s="52">
        <v>772</v>
      </c>
      <c r="R187" s="53" t="s">
        <v>1362</v>
      </c>
      <c r="S187" s="54">
        <v>54</v>
      </c>
      <c r="T187" s="53" t="s">
        <v>1363</v>
      </c>
      <c r="U187" s="54">
        <v>31</v>
      </c>
    </row>
    <row r="188" spans="1:21" ht="54.75" customHeight="1" x14ac:dyDescent="0.25">
      <c r="A188" s="2" t="s">
        <v>704</v>
      </c>
      <c r="B188" s="3" t="s">
        <v>705</v>
      </c>
      <c r="C188" s="4">
        <v>2</v>
      </c>
      <c r="D188" s="4" t="s">
        <v>706</v>
      </c>
      <c r="E188" s="3" t="s">
        <v>707</v>
      </c>
      <c r="F188" s="3" t="s">
        <v>43</v>
      </c>
      <c r="G188" s="3" t="s">
        <v>43</v>
      </c>
      <c r="H188" s="3" t="s">
        <v>1375</v>
      </c>
      <c r="I188" s="4" t="s">
        <v>21</v>
      </c>
      <c r="J188" s="7">
        <v>18490</v>
      </c>
      <c r="K188" s="8">
        <v>25076</v>
      </c>
      <c r="L188" s="8">
        <v>17891</v>
      </c>
      <c r="M188" s="8">
        <v>2395</v>
      </c>
      <c r="N188" s="11">
        <v>0</v>
      </c>
      <c r="O188" s="12"/>
      <c r="P188" t="s">
        <v>1359</v>
      </c>
      <c r="R188" s="53" t="s">
        <v>1362</v>
      </c>
      <c r="S188" s="54">
        <v>54</v>
      </c>
      <c r="T188" s="53" t="s">
        <v>1363</v>
      </c>
      <c r="U188" s="54">
        <v>31</v>
      </c>
    </row>
    <row r="189" spans="1:21" ht="54.75" hidden="1" customHeight="1" x14ac:dyDescent="0.25">
      <c r="A189" s="2" t="s">
        <v>708</v>
      </c>
      <c r="B189" s="3" t="s">
        <v>709</v>
      </c>
      <c r="C189" s="4">
        <v>1</v>
      </c>
      <c r="D189" s="4" t="s">
        <v>710</v>
      </c>
      <c r="E189" s="3" t="s">
        <v>711</v>
      </c>
      <c r="F189" s="3" t="s">
        <v>11</v>
      </c>
      <c r="G189" s="3" t="s">
        <v>11</v>
      </c>
      <c r="H189" s="3" t="s">
        <v>1381</v>
      </c>
      <c r="I189" s="4" t="s">
        <v>21</v>
      </c>
      <c r="J189" s="7">
        <v>18440</v>
      </c>
      <c r="K189" s="8">
        <v>30472</v>
      </c>
      <c r="L189" s="8">
        <v>11642</v>
      </c>
      <c r="M189" s="8">
        <v>1345</v>
      </c>
      <c r="N189" s="11">
        <v>0</v>
      </c>
      <c r="O189" s="12"/>
      <c r="P189" s="2" t="s">
        <v>1361</v>
      </c>
      <c r="Q189" s="52">
        <v>732</v>
      </c>
      <c r="R189" s="53" t="s">
        <v>1362</v>
      </c>
      <c r="S189" s="54">
        <v>54</v>
      </c>
      <c r="T189" s="53" t="s">
        <v>1363</v>
      </c>
      <c r="U189" s="54">
        <v>31</v>
      </c>
    </row>
    <row r="190" spans="1:21" ht="54.75" hidden="1" customHeight="1" x14ac:dyDescent="0.25">
      <c r="A190" s="2" t="s">
        <v>712</v>
      </c>
      <c r="B190" s="3" t="s">
        <v>713</v>
      </c>
      <c r="C190" s="4">
        <v>1</v>
      </c>
      <c r="D190" s="4" t="s">
        <v>714</v>
      </c>
      <c r="E190" s="3" t="s">
        <v>715</v>
      </c>
      <c r="F190" s="3" t="s">
        <v>11</v>
      </c>
      <c r="G190" s="3" t="s">
        <v>11</v>
      </c>
      <c r="H190" s="3" t="s">
        <v>1381</v>
      </c>
      <c r="I190" s="4" t="s">
        <v>21</v>
      </c>
      <c r="J190" s="7">
        <v>18430</v>
      </c>
      <c r="K190" s="8">
        <v>28774</v>
      </c>
      <c r="L190" s="8">
        <v>14239</v>
      </c>
      <c r="M190" s="8">
        <v>1615</v>
      </c>
      <c r="N190" s="11">
        <v>0</v>
      </c>
      <c r="O190" s="12"/>
      <c r="P190" s="2" t="s">
        <v>1358</v>
      </c>
      <c r="Q190" s="52">
        <v>772</v>
      </c>
      <c r="R190" s="53" t="s">
        <v>1362</v>
      </c>
      <c r="S190" s="54">
        <v>54</v>
      </c>
      <c r="T190" s="53" t="s">
        <v>1363</v>
      </c>
      <c r="U190" s="54">
        <v>31</v>
      </c>
    </row>
    <row r="191" spans="1:21" ht="54.75" hidden="1" customHeight="1" x14ac:dyDescent="0.25">
      <c r="A191" s="2" t="s">
        <v>716</v>
      </c>
      <c r="B191" s="3" t="s">
        <v>717</v>
      </c>
      <c r="C191" s="4">
        <v>2</v>
      </c>
      <c r="D191" s="4" t="s">
        <v>718</v>
      </c>
      <c r="E191" s="3" t="s">
        <v>719</v>
      </c>
      <c r="F191" s="3" t="s">
        <v>11</v>
      </c>
      <c r="G191" s="3" t="s">
        <v>11</v>
      </c>
      <c r="H191" s="3" t="s">
        <v>1381</v>
      </c>
      <c r="I191" s="4" t="s">
        <v>21</v>
      </c>
      <c r="J191" s="7">
        <v>18340</v>
      </c>
      <c r="K191" s="8">
        <v>34997</v>
      </c>
      <c r="L191" s="8">
        <v>9812</v>
      </c>
      <c r="M191" s="8">
        <v>1095</v>
      </c>
      <c r="N191" s="11">
        <v>0</v>
      </c>
      <c r="O191" s="12"/>
      <c r="P191" s="2" t="s">
        <v>1361</v>
      </c>
      <c r="Q191" s="52">
        <v>732</v>
      </c>
      <c r="R191" s="53" t="s">
        <v>1362</v>
      </c>
      <c r="S191" s="54">
        <v>54</v>
      </c>
      <c r="T191" s="53" t="s">
        <v>1363</v>
      </c>
      <c r="U191" s="54">
        <v>31</v>
      </c>
    </row>
    <row r="192" spans="1:21" ht="54.75" hidden="1" customHeight="1" x14ac:dyDescent="0.25">
      <c r="A192" s="2" t="s">
        <v>720</v>
      </c>
      <c r="B192" s="3" t="s">
        <v>721</v>
      </c>
      <c r="C192" s="4">
        <v>1</v>
      </c>
      <c r="D192" s="4" t="s">
        <v>722</v>
      </c>
      <c r="E192" s="3" t="s">
        <v>723</v>
      </c>
      <c r="F192" s="3" t="s">
        <v>40</v>
      </c>
      <c r="G192" s="3" t="s">
        <v>139</v>
      </c>
      <c r="H192" s="3" t="s">
        <v>1375</v>
      </c>
      <c r="I192" s="4" t="s">
        <v>21</v>
      </c>
      <c r="J192" s="7">
        <v>18340</v>
      </c>
      <c r="K192" s="8">
        <v>33310</v>
      </c>
      <c r="L192" s="8">
        <v>3745</v>
      </c>
      <c r="M192" s="8">
        <v>1095</v>
      </c>
      <c r="N192" s="11">
        <v>2600</v>
      </c>
      <c r="O192" s="12">
        <v>45952</v>
      </c>
      <c r="P192" s="2" t="s">
        <v>1360</v>
      </c>
      <c r="Q192" s="52">
        <v>763</v>
      </c>
      <c r="R192" s="53" t="s">
        <v>1362</v>
      </c>
      <c r="S192" s="54">
        <v>54</v>
      </c>
      <c r="T192" s="53" t="s">
        <v>1363</v>
      </c>
      <c r="U192" s="54">
        <v>31</v>
      </c>
    </row>
    <row r="193" spans="1:21" ht="54.75" customHeight="1" x14ac:dyDescent="0.25">
      <c r="A193" s="2" t="s">
        <v>724</v>
      </c>
      <c r="B193" s="3" t="s">
        <v>725</v>
      </c>
      <c r="C193" s="4">
        <v>1</v>
      </c>
      <c r="D193" s="4" t="s">
        <v>726</v>
      </c>
      <c r="E193" s="3" t="s">
        <v>727</v>
      </c>
      <c r="F193" s="3" t="s">
        <v>11</v>
      </c>
      <c r="G193" s="3" t="s">
        <v>43</v>
      </c>
      <c r="H193" s="3" t="s">
        <v>1381</v>
      </c>
      <c r="I193" s="4" t="s">
        <v>21</v>
      </c>
      <c r="J193" s="7">
        <v>18340</v>
      </c>
      <c r="K193" s="8">
        <v>33743</v>
      </c>
      <c r="L193" s="8">
        <v>8558</v>
      </c>
      <c r="M193" s="8">
        <v>1095</v>
      </c>
      <c r="N193" s="11">
        <v>1000</v>
      </c>
      <c r="O193" s="12">
        <v>45956</v>
      </c>
      <c r="P193" t="s">
        <v>1359</v>
      </c>
      <c r="R193" s="53" t="s">
        <v>1362</v>
      </c>
      <c r="S193" s="54">
        <v>54</v>
      </c>
      <c r="T193" s="53" t="s">
        <v>1363</v>
      </c>
      <c r="U193" s="54">
        <v>31</v>
      </c>
    </row>
    <row r="194" spans="1:21" ht="54.75" hidden="1" customHeight="1" x14ac:dyDescent="0.25">
      <c r="A194" s="2" t="s">
        <v>728</v>
      </c>
      <c r="B194" s="3" t="s">
        <v>729</v>
      </c>
      <c r="C194" s="4">
        <v>1</v>
      </c>
      <c r="D194" s="4" t="s">
        <v>730</v>
      </c>
      <c r="E194" s="3" t="s">
        <v>731</v>
      </c>
      <c r="F194" s="3" t="s">
        <v>40</v>
      </c>
      <c r="G194" s="3" t="s">
        <v>40</v>
      </c>
      <c r="H194" s="3" t="s">
        <v>1375</v>
      </c>
      <c r="I194" s="4" t="s">
        <v>21</v>
      </c>
      <c r="J194" s="7">
        <v>18020</v>
      </c>
      <c r="K194" s="8">
        <v>32051</v>
      </c>
      <c r="L194" s="8">
        <v>3581</v>
      </c>
      <c r="M194" s="8">
        <v>1095</v>
      </c>
      <c r="N194" s="11">
        <v>0</v>
      </c>
      <c r="O194" s="12"/>
      <c r="P194" s="2" t="s">
        <v>1361</v>
      </c>
      <c r="Q194" s="52">
        <v>732</v>
      </c>
      <c r="R194" s="53" t="s">
        <v>1362</v>
      </c>
      <c r="S194" s="54">
        <v>54</v>
      </c>
      <c r="T194" s="53" t="s">
        <v>1363</v>
      </c>
      <c r="U194" s="54">
        <v>31</v>
      </c>
    </row>
    <row r="195" spans="1:21" ht="54.75" customHeight="1" x14ac:dyDescent="0.25">
      <c r="A195" s="2" t="s">
        <v>732</v>
      </c>
      <c r="B195" s="3" t="s">
        <v>733</v>
      </c>
      <c r="C195" s="4">
        <v>3</v>
      </c>
      <c r="D195" s="4" t="s">
        <v>734</v>
      </c>
      <c r="E195" s="3" t="s">
        <v>735</v>
      </c>
      <c r="F195" s="3" t="s">
        <v>40</v>
      </c>
      <c r="G195" s="3" t="s">
        <v>35</v>
      </c>
      <c r="H195" s="3" t="s">
        <v>1375</v>
      </c>
      <c r="I195" s="4" t="s">
        <v>21</v>
      </c>
      <c r="J195" s="7">
        <v>18020</v>
      </c>
      <c r="K195" s="8">
        <v>31455</v>
      </c>
      <c r="L195" s="8">
        <v>2985</v>
      </c>
      <c r="M195" s="8">
        <v>1095</v>
      </c>
      <c r="N195" s="11">
        <v>1330</v>
      </c>
      <c r="O195" s="12">
        <v>45943</v>
      </c>
      <c r="P195" t="s">
        <v>1359</v>
      </c>
      <c r="R195" s="53" t="s">
        <v>1362</v>
      </c>
      <c r="S195" s="54">
        <v>54</v>
      </c>
      <c r="T195" s="53" t="s">
        <v>1363</v>
      </c>
      <c r="U195" s="54">
        <v>31</v>
      </c>
    </row>
    <row r="196" spans="1:21" ht="54.75" hidden="1" customHeight="1" x14ac:dyDescent="0.25">
      <c r="A196" s="2" t="s">
        <v>736</v>
      </c>
      <c r="B196" s="3" t="s">
        <v>737</v>
      </c>
      <c r="C196" s="4">
        <v>1</v>
      </c>
      <c r="D196" s="4" t="s">
        <v>738</v>
      </c>
      <c r="E196" s="3" t="s">
        <v>739</v>
      </c>
      <c r="F196" s="3" t="s">
        <v>16</v>
      </c>
      <c r="G196" s="3" t="s">
        <v>29</v>
      </c>
      <c r="H196" s="3" t="s">
        <v>1375</v>
      </c>
      <c r="I196" s="4" t="s">
        <v>21</v>
      </c>
      <c r="J196" s="7">
        <v>18020</v>
      </c>
      <c r="K196" s="8">
        <v>32007</v>
      </c>
      <c r="L196" s="8">
        <v>5727</v>
      </c>
      <c r="M196" s="8">
        <v>1095</v>
      </c>
      <c r="N196" s="11">
        <v>1730</v>
      </c>
      <c r="O196" s="12">
        <v>45942</v>
      </c>
      <c r="P196" s="2" t="s">
        <v>1358</v>
      </c>
      <c r="Q196" s="52">
        <v>772</v>
      </c>
      <c r="R196" s="53" t="s">
        <v>1362</v>
      </c>
      <c r="S196" s="54">
        <v>54</v>
      </c>
      <c r="T196" s="53" t="s">
        <v>1363</v>
      </c>
      <c r="U196" s="54">
        <v>31</v>
      </c>
    </row>
    <row r="197" spans="1:21" ht="54.75" hidden="1" customHeight="1" x14ac:dyDescent="0.25">
      <c r="A197" s="2" t="s">
        <v>740</v>
      </c>
      <c r="B197" s="3" t="s">
        <v>741</v>
      </c>
      <c r="C197" s="4">
        <v>1</v>
      </c>
      <c r="D197" s="4" t="s">
        <v>742</v>
      </c>
      <c r="E197" s="3" t="s">
        <v>743</v>
      </c>
      <c r="F197" s="3" t="s">
        <v>11</v>
      </c>
      <c r="G197" s="3" t="s">
        <v>11</v>
      </c>
      <c r="H197" s="3" t="s">
        <v>1381</v>
      </c>
      <c r="I197" s="4" t="s">
        <v>21</v>
      </c>
      <c r="J197" s="7">
        <v>17875</v>
      </c>
      <c r="K197" s="8">
        <v>28746</v>
      </c>
      <c r="L197" s="8">
        <v>11261</v>
      </c>
      <c r="M197" s="8">
        <v>1345</v>
      </c>
      <c r="N197" s="11">
        <v>0</v>
      </c>
      <c r="O197" s="12"/>
      <c r="P197" s="2" t="s">
        <v>1360</v>
      </c>
      <c r="Q197" s="52">
        <v>763</v>
      </c>
      <c r="R197" s="53" t="s">
        <v>1362</v>
      </c>
      <c r="S197" s="54">
        <v>54</v>
      </c>
      <c r="T197" s="53" t="s">
        <v>1363</v>
      </c>
      <c r="U197" s="54">
        <v>31</v>
      </c>
    </row>
    <row r="198" spans="1:21" ht="54.75" customHeight="1" x14ac:dyDescent="0.25">
      <c r="A198" s="2" t="s">
        <v>744</v>
      </c>
      <c r="B198" s="3" t="s">
        <v>745</v>
      </c>
      <c r="C198" s="4">
        <v>1</v>
      </c>
      <c r="D198" s="4" t="s">
        <v>746</v>
      </c>
      <c r="E198" s="3" t="s">
        <v>747</v>
      </c>
      <c r="F198" s="3" t="s">
        <v>16</v>
      </c>
      <c r="G198" s="3" t="s">
        <v>29</v>
      </c>
      <c r="H198" s="3" t="s">
        <v>1375</v>
      </c>
      <c r="I198" s="4" t="s">
        <v>21</v>
      </c>
      <c r="J198" s="7">
        <v>17875</v>
      </c>
      <c r="K198" s="8">
        <v>27661</v>
      </c>
      <c r="L198" s="8">
        <v>7486</v>
      </c>
      <c r="M198" s="8">
        <v>1345</v>
      </c>
      <c r="N198" s="11">
        <v>2700</v>
      </c>
      <c r="O198" s="12">
        <v>45941</v>
      </c>
      <c r="P198" t="s">
        <v>1359</v>
      </c>
      <c r="R198" s="53" t="s">
        <v>1362</v>
      </c>
      <c r="S198" s="54">
        <v>54</v>
      </c>
      <c r="T198" s="53" t="s">
        <v>1363</v>
      </c>
      <c r="U198" s="54">
        <v>31</v>
      </c>
    </row>
    <row r="199" spans="1:21" ht="54.75" hidden="1" customHeight="1" x14ac:dyDescent="0.25">
      <c r="A199" s="2" t="s">
        <v>748</v>
      </c>
      <c r="B199" s="3" t="s">
        <v>749</v>
      </c>
      <c r="C199" s="4">
        <v>1</v>
      </c>
      <c r="D199" s="4" t="s">
        <v>750</v>
      </c>
      <c r="E199" s="3" t="s">
        <v>751</v>
      </c>
      <c r="F199" s="3" t="s">
        <v>43</v>
      </c>
      <c r="G199" s="3" t="s">
        <v>16</v>
      </c>
      <c r="H199" s="3" t="s">
        <v>1375</v>
      </c>
      <c r="I199" s="4" t="s">
        <v>21</v>
      </c>
      <c r="J199" s="7">
        <v>17760</v>
      </c>
      <c r="K199" s="8">
        <v>25456</v>
      </c>
      <c r="L199" s="8">
        <v>7906</v>
      </c>
      <c r="M199" s="8">
        <v>1170</v>
      </c>
      <c r="N199" s="11">
        <v>1125</v>
      </c>
      <c r="O199" s="12">
        <v>45955</v>
      </c>
      <c r="P199" s="2" t="s">
        <v>1361</v>
      </c>
      <c r="Q199" s="52">
        <v>732</v>
      </c>
      <c r="R199" s="53" t="s">
        <v>1362</v>
      </c>
      <c r="S199" s="54">
        <v>54</v>
      </c>
      <c r="T199" s="53" t="s">
        <v>1363</v>
      </c>
      <c r="U199" s="54">
        <v>31</v>
      </c>
    </row>
    <row r="200" spans="1:21" ht="54.75" hidden="1" customHeight="1" x14ac:dyDescent="0.25">
      <c r="A200" s="2" t="s">
        <v>752</v>
      </c>
      <c r="B200" s="3" t="s">
        <v>753</v>
      </c>
      <c r="C200" s="4">
        <v>1</v>
      </c>
      <c r="D200" s="4" t="s">
        <v>754</v>
      </c>
      <c r="E200" s="3" t="s">
        <v>755</v>
      </c>
      <c r="F200" s="3" t="s">
        <v>29</v>
      </c>
      <c r="G200" s="3" t="s">
        <v>29</v>
      </c>
      <c r="H200" s="3" t="s">
        <v>1375</v>
      </c>
      <c r="I200" s="4" t="s">
        <v>21</v>
      </c>
      <c r="J200" s="7">
        <v>17755</v>
      </c>
      <c r="K200" s="8">
        <v>21719</v>
      </c>
      <c r="L200" s="8">
        <v>17704</v>
      </c>
      <c r="M200" s="8">
        <v>4015</v>
      </c>
      <c r="N200" s="11">
        <v>0</v>
      </c>
      <c r="O200" s="12"/>
      <c r="P200" s="2" t="s">
        <v>1358</v>
      </c>
      <c r="Q200" s="52">
        <v>772</v>
      </c>
      <c r="R200" s="53" t="s">
        <v>1362</v>
      </c>
      <c r="S200" s="54">
        <v>54</v>
      </c>
      <c r="T200" s="53" t="s">
        <v>1363</v>
      </c>
      <c r="U200" s="54">
        <v>31</v>
      </c>
    </row>
    <row r="201" spans="1:21" ht="54.75" hidden="1" customHeight="1" x14ac:dyDescent="0.25">
      <c r="A201" s="2" t="s">
        <v>756</v>
      </c>
      <c r="B201" s="3" t="s">
        <v>757</v>
      </c>
      <c r="C201" s="4">
        <v>1</v>
      </c>
      <c r="D201" s="4" t="s">
        <v>758</v>
      </c>
      <c r="E201" s="3" t="s">
        <v>759</v>
      </c>
      <c r="F201" s="3" t="s">
        <v>16</v>
      </c>
      <c r="G201" s="3" t="s">
        <v>40</v>
      </c>
      <c r="H201" s="3" t="s">
        <v>1375</v>
      </c>
      <c r="I201" s="4" t="s">
        <v>21</v>
      </c>
      <c r="J201" s="7">
        <v>17735</v>
      </c>
      <c r="K201" s="8">
        <v>31472</v>
      </c>
      <c r="L201" s="8">
        <v>5192</v>
      </c>
      <c r="M201" s="8">
        <v>1095</v>
      </c>
      <c r="N201" s="11">
        <v>1500</v>
      </c>
      <c r="O201" s="12">
        <v>45941</v>
      </c>
      <c r="P201" s="2" t="s">
        <v>1360</v>
      </c>
      <c r="Q201" s="52">
        <v>763</v>
      </c>
      <c r="R201" s="53" t="s">
        <v>1362</v>
      </c>
      <c r="S201" s="54">
        <v>54</v>
      </c>
      <c r="T201" s="53" t="s">
        <v>1363</v>
      </c>
      <c r="U201" s="54">
        <v>31</v>
      </c>
    </row>
    <row r="202" spans="1:21" ht="54.75" customHeight="1" x14ac:dyDescent="0.25">
      <c r="A202" s="2" t="s">
        <v>760</v>
      </c>
      <c r="B202" s="3" t="s">
        <v>761</v>
      </c>
      <c r="C202" s="4">
        <v>1</v>
      </c>
      <c r="D202" s="4" t="s">
        <v>762</v>
      </c>
      <c r="E202" s="3" t="s">
        <v>763</v>
      </c>
      <c r="F202" s="3" t="s">
        <v>40</v>
      </c>
      <c r="G202" s="3" t="s">
        <v>40</v>
      </c>
      <c r="H202" s="3" t="s">
        <v>1375</v>
      </c>
      <c r="I202" s="4" t="s">
        <v>21</v>
      </c>
      <c r="J202" s="7">
        <v>17690</v>
      </c>
      <c r="K202" s="8">
        <v>30961</v>
      </c>
      <c r="L202" s="8">
        <v>3586</v>
      </c>
      <c r="M202" s="8">
        <v>1095</v>
      </c>
      <c r="N202" s="11">
        <v>0</v>
      </c>
      <c r="O202" s="12"/>
      <c r="P202" t="s">
        <v>1359</v>
      </c>
      <c r="R202" s="53" t="s">
        <v>1362</v>
      </c>
      <c r="S202" s="54">
        <v>54</v>
      </c>
      <c r="T202" s="53" t="s">
        <v>1363</v>
      </c>
      <c r="U202" s="54">
        <v>31</v>
      </c>
    </row>
    <row r="203" spans="1:21" ht="54.75" customHeight="1" x14ac:dyDescent="0.25">
      <c r="A203" s="2" t="s">
        <v>764</v>
      </c>
      <c r="B203" s="3" t="s">
        <v>765</v>
      </c>
      <c r="C203" s="4">
        <v>2</v>
      </c>
      <c r="D203" s="4" t="s">
        <v>766</v>
      </c>
      <c r="E203" s="3" t="s">
        <v>767</v>
      </c>
      <c r="F203" s="3" t="s">
        <v>40</v>
      </c>
      <c r="G203" s="3" t="s">
        <v>35</v>
      </c>
      <c r="H203" s="3" t="s">
        <v>1375</v>
      </c>
      <c r="I203" s="4" t="s">
        <v>21</v>
      </c>
      <c r="J203" s="7">
        <v>17669</v>
      </c>
      <c r="K203" s="8">
        <v>23028</v>
      </c>
      <c r="L203" s="8">
        <v>7558</v>
      </c>
      <c r="M203" s="8">
        <v>2210</v>
      </c>
      <c r="N203" s="11">
        <v>2674</v>
      </c>
      <c r="O203" s="12">
        <v>45946</v>
      </c>
      <c r="P203" t="s">
        <v>1359</v>
      </c>
      <c r="R203" s="53" t="s">
        <v>1362</v>
      </c>
      <c r="S203" s="54">
        <v>54</v>
      </c>
      <c r="T203" s="53" t="s">
        <v>1363</v>
      </c>
      <c r="U203" s="54">
        <v>31</v>
      </c>
    </row>
    <row r="204" spans="1:21" ht="54.75" hidden="1" customHeight="1" x14ac:dyDescent="0.25">
      <c r="A204" s="2" t="s">
        <v>768</v>
      </c>
      <c r="B204" s="3" t="s">
        <v>769</v>
      </c>
      <c r="C204" s="4">
        <v>1</v>
      </c>
      <c r="D204" s="4" t="s">
        <v>770</v>
      </c>
      <c r="E204" s="3" t="s">
        <v>771</v>
      </c>
      <c r="F204" s="3" t="s">
        <v>29</v>
      </c>
      <c r="G204" s="3" t="s">
        <v>40</v>
      </c>
      <c r="H204" s="3" t="s">
        <v>1375</v>
      </c>
      <c r="I204" s="4" t="s">
        <v>21</v>
      </c>
      <c r="J204" s="7">
        <v>17506</v>
      </c>
      <c r="K204" s="8">
        <v>30186</v>
      </c>
      <c r="L204" s="8">
        <v>3906</v>
      </c>
      <c r="M204" s="8">
        <v>1095</v>
      </c>
      <c r="N204" s="11">
        <v>1200</v>
      </c>
      <c r="O204" s="12">
        <v>45947</v>
      </c>
      <c r="P204" s="2" t="s">
        <v>1361</v>
      </c>
      <c r="Q204" s="52">
        <v>732</v>
      </c>
      <c r="R204" s="53" t="s">
        <v>1362</v>
      </c>
      <c r="S204" s="54">
        <v>54</v>
      </c>
      <c r="T204" s="53" t="s">
        <v>1363</v>
      </c>
      <c r="U204" s="54">
        <v>31</v>
      </c>
    </row>
    <row r="205" spans="1:21" ht="54.75" customHeight="1" x14ac:dyDescent="0.25">
      <c r="A205" s="2" t="s">
        <v>772</v>
      </c>
      <c r="B205" s="3" t="s">
        <v>773</v>
      </c>
      <c r="C205" s="4">
        <v>2</v>
      </c>
      <c r="D205" s="4" t="s">
        <v>774</v>
      </c>
      <c r="E205" s="3" t="s">
        <v>775</v>
      </c>
      <c r="F205" s="3" t="s">
        <v>29</v>
      </c>
      <c r="G205" s="3" t="s">
        <v>35</v>
      </c>
      <c r="H205" s="3" t="s">
        <v>1375</v>
      </c>
      <c r="I205" s="4" t="s">
        <v>21</v>
      </c>
      <c r="J205" s="7">
        <v>17485</v>
      </c>
      <c r="K205" s="8">
        <v>26460</v>
      </c>
      <c r="L205" s="8">
        <v>6650</v>
      </c>
      <c r="M205" s="8">
        <v>1415</v>
      </c>
      <c r="N205" s="11">
        <v>3523</v>
      </c>
      <c r="O205" s="12">
        <v>45958</v>
      </c>
      <c r="P205" t="s">
        <v>1359</v>
      </c>
      <c r="R205" s="53" t="s">
        <v>1362</v>
      </c>
      <c r="S205" s="54">
        <v>54</v>
      </c>
      <c r="T205" s="53" t="s">
        <v>1363</v>
      </c>
      <c r="U205" s="54">
        <v>31</v>
      </c>
    </row>
    <row r="206" spans="1:21" ht="54.75" hidden="1" customHeight="1" x14ac:dyDescent="0.25">
      <c r="A206" s="2" t="s">
        <v>776</v>
      </c>
      <c r="B206" s="3" t="s">
        <v>777</v>
      </c>
      <c r="C206" s="4">
        <v>1</v>
      </c>
      <c r="D206" s="4" t="s">
        <v>778</v>
      </c>
      <c r="E206" s="3" t="s">
        <v>779</v>
      </c>
      <c r="F206" s="3" t="s">
        <v>11</v>
      </c>
      <c r="G206" s="3" t="s">
        <v>11</v>
      </c>
      <c r="H206" s="3" t="s">
        <v>1381</v>
      </c>
      <c r="I206" s="4" t="s">
        <v>21</v>
      </c>
      <c r="J206" s="7">
        <v>17379</v>
      </c>
      <c r="K206" s="8">
        <v>27672</v>
      </c>
      <c r="L206" s="8">
        <v>10187</v>
      </c>
      <c r="M206" s="8">
        <v>1345</v>
      </c>
      <c r="N206" s="11">
        <v>0</v>
      </c>
      <c r="O206" s="12"/>
      <c r="P206" s="2" t="s">
        <v>1358</v>
      </c>
      <c r="Q206" s="52">
        <v>772</v>
      </c>
      <c r="R206" s="53" t="s">
        <v>1362</v>
      </c>
      <c r="S206" s="54">
        <v>54</v>
      </c>
      <c r="T206" s="53" t="s">
        <v>1363</v>
      </c>
      <c r="U206" s="54">
        <v>31</v>
      </c>
    </row>
    <row r="207" spans="1:21" ht="54.75" hidden="1" customHeight="1" x14ac:dyDescent="0.25">
      <c r="A207" s="2" t="s">
        <v>780</v>
      </c>
      <c r="B207" s="3" t="s">
        <v>501</v>
      </c>
      <c r="C207" s="4">
        <v>2</v>
      </c>
      <c r="D207" s="4" t="s">
        <v>502</v>
      </c>
      <c r="E207" s="3" t="s">
        <v>503</v>
      </c>
      <c r="F207" s="3" t="s">
        <v>40</v>
      </c>
      <c r="G207" s="3" t="s">
        <v>40</v>
      </c>
      <c r="H207" s="3" t="s">
        <v>1375</v>
      </c>
      <c r="I207" s="4" t="s">
        <v>21</v>
      </c>
      <c r="J207" s="7">
        <v>17345</v>
      </c>
      <c r="K207" s="8">
        <v>30025</v>
      </c>
      <c r="L207" s="8">
        <v>3745</v>
      </c>
      <c r="M207" s="8">
        <v>1095</v>
      </c>
      <c r="N207" s="11">
        <v>0</v>
      </c>
      <c r="O207" s="12"/>
      <c r="P207" s="2" t="s">
        <v>1358</v>
      </c>
      <c r="Q207" s="52">
        <v>772</v>
      </c>
      <c r="R207" s="53" t="s">
        <v>1362</v>
      </c>
      <c r="S207" s="54">
        <v>54</v>
      </c>
      <c r="T207" s="53" t="s">
        <v>1363</v>
      </c>
      <c r="U207" s="54">
        <v>31</v>
      </c>
    </row>
    <row r="208" spans="1:21" ht="54.75" hidden="1" customHeight="1" x14ac:dyDescent="0.25">
      <c r="A208" s="2" t="s">
        <v>781</v>
      </c>
      <c r="B208" s="3" t="s">
        <v>782</v>
      </c>
      <c r="C208" s="4">
        <v>1</v>
      </c>
      <c r="D208" s="4" t="s">
        <v>783</v>
      </c>
      <c r="E208" s="3" t="s">
        <v>784</v>
      </c>
      <c r="F208" s="3" t="s">
        <v>40</v>
      </c>
      <c r="G208" s="3" t="s">
        <v>40</v>
      </c>
      <c r="H208" s="3" t="s">
        <v>1375</v>
      </c>
      <c r="I208" s="4" t="s">
        <v>21</v>
      </c>
      <c r="J208" s="7">
        <v>17150</v>
      </c>
      <c r="K208" s="8">
        <v>20510</v>
      </c>
      <c r="L208" s="8">
        <v>7650</v>
      </c>
      <c r="M208" s="8">
        <v>3215</v>
      </c>
      <c r="N208" s="11">
        <v>0</v>
      </c>
      <c r="O208" s="12"/>
      <c r="P208" s="2" t="s">
        <v>1360</v>
      </c>
      <c r="Q208" s="52">
        <v>763</v>
      </c>
      <c r="R208" s="53" t="s">
        <v>1362</v>
      </c>
      <c r="S208" s="54">
        <v>54</v>
      </c>
      <c r="T208" s="53" t="s">
        <v>1363</v>
      </c>
      <c r="U208" s="54">
        <v>31</v>
      </c>
    </row>
    <row r="209" spans="1:21" ht="54.75" customHeight="1" x14ac:dyDescent="0.25">
      <c r="A209" s="2" t="s">
        <v>785</v>
      </c>
      <c r="B209" s="3" t="s">
        <v>786</v>
      </c>
      <c r="C209" s="4">
        <v>1</v>
      </c>
      <c r="D209" s="4" t="s">
        <v>787</v>
      </c>
      <c r="E209" s="3" t="s">
        <v>788</v>
      </c>
      <c r="F209" s="3" t="s">
        <v>29</v>
      </c>
      <c r="G209" s="3" t="s">
        <v>40</v>
      </c>
      <c r="H209" s="3" t="s">
        <v>1375</v>
      </c>
      <c r="I209" s="4" t="s">
        <v>21</v>
      </c>
      <c r="J209" s="7">
        <v>16985</v>
      </c>
      <c r="K209" s="8">
        <v>29237</v>
      </c>
      <c r="L209" s="8">
        <v>5147</v>
      </c>
      <c r="M209" s="8">
        <v>1095</v>
      </c>
      <c r="N209" s="11">
        <v>2200</v>
      </c>
      <c r="O209" s="12">
        <v>45943</v>
      </c>
      <c r="P209" t="s">
        <v>1359</v>
      </c>
      <c r="R209" s="53" t="s">
        <v>1362</v>
      </c>
      <c r="S209" s="54">
        <v>54</v>
      </c>
      <c r="T209" s="53" t="s">
        <v>1363</v>
      </c>
      <c r="U209" s="54">
        <v>31</v>
      </c>
    </row>
    <row r="210" spans="1:21" ht="54.75" hidden="1" customHeight="1" x14ac:dyDescent="0.25">
      <c r="A210" s="2" t="s">
        <v>789</v>
      </c>
      <c r="B210" s="3" t="s">
        <v>790</v>
      </c>
      <c r="C210" s="4">
        <v>1</v>
      </c>
      <c r="D210" s="4" t="s">
        <v>791</v>
      </c>
      <c r="E210" s="3" t="s">
        <v>792</v>
      </c>
      <c r="F210" s="3" t="s">
        <v>40</v>
      </c>
      <c r="G210" s="3" t="s">
        <v>40</v>
      </c>
      <c r="H210" s="3" t="s">
        <v>1375</v>
      </c>
      <c r="I210" s="4" t="s">
        <v>21</v>
      </c>
      <c r="J210" s="7">
        <v>16985</v>
      </c>
      <c r="K210" s="8">
        <v>28930</v>
      </c>
      <c r="L210" s="8">
        <v>3745</v>
      </c>
      <c r="M210" s="8">
        <v>1095</v>
      </c>
      <c r="N210" s="11">
        <v>0</v>
      </c>
      <c r="O210" s="12"/>
      <c r="P210" s="2" t="s">
        <v>1361</v>
      </c>
      <c r="Q210" s="52">
        <v>732</v>
      </c>
      <c r="R210" s="53" t="s">
        <v>1362</v>
      </c>
      <c r="S210" s="54">
        <v>54</v>
      </c>
      <c r="T210" s="53" t="s">
        <v>1363</v>
      </c>
      <c r="U210" s="54">
        <v>31</v>
      </c>
    </row>
    <row r="211" spans="1:21" ht="54.75" hidden="1" customHeight="1" x14ac:dyDescent="0.25">
      <c r="A211" s="2" t="s">
        <v>793</v>
      </c>
      <c r="B211" s="3" t="s">
        <v>794</v>
      </c>
      <c r="C211" s="4">
        <v>1</v>
      </c>
      <c r="D211" s="4" t="s">
        <v>795</v>
      </c>
      <c r="E211" s="3" t="s">
        <v>796</v>
      </c>
      <c r="F211" s="3" t="s">
        <v>16</v>
      </c>
      <c r="G211" s="3" t="s">
        <v>16</v>
      </c>
      <c r="H211" s="3" t="s">
        <v>1375</v>
      </c>
      <c r="I211" s="4" t="s">
        <v>21</v>
      </c>
      <c r="J211" s="7">
        <v>16985</v>
      </c>
      <c r="K211" s="8">
        <v>29620</v>
      </c>
      <c r="L211" s="8">
        <v>6625</v>
      </c>
      <c r="M211" s="8">
        <v>1095</v>
      </c>
      <c r="N211" s="11">
        <v>0</v>
      </c>
      <c r="O211" s="12"/>
      <c r="P211" s="2" t="s">
        <v>1358</v>
      </c>
      <c r="Q211" s="52">
        <v>772</v>
      </c>
      <c r="R211" s="53" t="s">
        <v>1362</v>
      </c>
      <c r="S211" s="54">
        <v>54</v>
      </c>
      <c r="T211" s="53" t="s">
        <v>1363</v>
      </c>
      <c r="U211" s="54">
        <v>31</v>
      </c>
    </row>
    <row r="212" spans="1:21" ht="54.75" hidden="1" customHeight="1" x14ac:dyDescent="0.25">
      <c r="A212" s="2" t="s">
        <v>797</v>
      </c>
      <c r="B212" s="3" t="s">
        <v>798</v>
      </c>
      <c r="C212" s="4">
        <v>2</v>
      </c>
      <c r="D212" s="4" t="s">
        <v>799</v>
      </c>
      <c r="E212" s="3" t="s">
        <v>800</v>
      </c>
      <c r="F212" s="3" t="s">
        <v>29</v>
      </c>
      <c r="G212" s="3" t="s">
        <v>29</v>
      </c>
      <c r="H212" s="3" t="s">
        <v>1375</v>
      </c>
      <c r="I212" s="4" t="s">
        <v>21</v>
      </c>
      <c r="J212" s="7">
        <v>16675</v>
      </c>
      <c r="K212" s="8">
        <v>25151</v>
      </c>
      <c r="L212" s="8">
        <v>6321</v>
      </c>
      <c r="M212" s="8">
        <v>1345</v>
      </c>
      <c r="N212" s="11">
        <v>0</v>
      </c>
      <c r="O212" s="12"/>
      <c r="P212" s="2" t="s">
        <v>1361</v>
      </c>
      <c r="Q212" s="52">
        <v>732</v>
      </c>
      <c r="R212" s="53" t="s">
        <v>1362</v>
      </c>
      <c r="S212" s="54">
        <v>54</v>
      </c>
      <c r="T212" s="53" t="s">
        <v>1363</v>
      </c>
      <c r="U212" s="54">
        <v>31</v>
      </c>
    </row>
    <row r="213" spans="1:21" ht="54.75" hidden="1" customHeight="1" x14ac:dyDescent="0.25">
      <c r="A213" s="2" t="s">
        <v>801</v>
      </c>
      <c r="B213" s="3" t="s">
        <v>798</v>
      </c>
      <c r="C213" s="4">
        <v>2</v>
      </c>
      <c r="D213" s="4" t="s">
        <v>799</v>
      </c>
      <c r="E213" s="3" t="s">
        <v>800</v>
      </c>
      <c r="F213" s="3" t="s">
        <v>29</v>
      </c>
      <c r="G213" s="3" t="s">
        <v>29</v>
      </c>
      <c r="H213" s="3" t="s">
        <v>1375</v>
      </c>
      <c r="I213" s="4" t="s">
        <v>21</v>
      </c>
      <c r="J213" s="7">
        <v>16675</v>
      </c>
      <c r="K213" s="8">
        <v>24344</v>
      </c>
      <c r="L213" s="8">
        <v>5514</v>
      </c>
      <c r="M213" s="8">
        <v>1345</v>
      </c>
      <c r="N213" s="11">
        <v>0</v>
      </c>
      <c r="O213" s="12"/>
      <c r="P213" s="2" t="s">
        <v>1361</v>
      </c>
      <c r="Q213" s="52">
        <v>732</v>
      </c>
      <c r="R213" s="53" t="s">
        <v>1362</v>
      </c>
      <c r="S213" s="54">
        <v>54</v>
      </c>
      <c r="T213" s="53" t="s">
        <v>1363</v>
      </c>
      <c r="U213" s="54">
        <v>31</v>
      </c>
    </row>
    <row r="214" spans="1:21" ht="54.75" hidden="1" customHeight="1" x14ac:dyDescent="0.25">
      <c r="A214" s="2" t="s">
        <v>802</v>
      </c>
      <c r="B214" s="3" t="s">
        <v>803</v>
      </c>
      <c r="C214" s="4">
        <v>1</v>
      </c>
      <c r="D214" s="4" t="s">
        <v>804</v>
      </c>
      <c r="E214" s="3" t="s">
        <v>805</v>
      </c>
      <c r="F214" s="3" t="s">
        <v>11</v>
      </c>
      <c r="G214" s="3" t="s">
        <v>11</v>
      </c>
      <c r="H214" s="3" t="s">
        <v>1381</v>
      </c>
      <c r="I214" s="4" t="s">
        <v>21</v>
      </c>
      <c r="J214" s="7">
        <v>16675</v>
      </c>
      <c r="K214" s="8">
        <v>25670</v>
      </c>
      <c r="L214" s="8">
        <v>10875</v>
      </c>
      <c r="M214" s="8">
        <v>1345</v>
      </c>
      <c r="N214" s="11">
        <v>0</v>
      </c>
      <c r="O214" s="12"/>
      <c r="P214" s="2" t="s">
        <v>1360</v>
      </c>
      <c r="Q214" s="52">
        <v>763</v>
      </c>
      <c r="R214" s="53" t="s">
        <v>1362</v>
      </c>
      <c r="S214" s="54">
        <v>54</v>
      </c>
      <c r="T214" s="53" t="s">
        <v>1363</v>
      </c>
      <c r="U214" s="54">
        <v>31</v>
      </c>
    </row>
    <row r="215" spans="1:21" ht="54.75" customHeight="1" x14ac:dyDescent="0.25">
      <c r="A215" s="2" t="s">
        <v>806</v>
      </c>
      <c r="B215" s="3" t="s">
        <v>807</v>
      </c>
      <c r="C215" s="4">
        <v>1</v>
      </c>
      <c r="D215" s="4" t="s">
        <v>808</v>
      </c>
      <c r="E215" s="3" t="s">
        <v>809</v>
      </c>
      <c r="F215" s="3" t="s">
        <v>11</v>
      </c>
      <c r="G215" s="3" t="s">
        <v>11</v>
      </c>
      <c r="H215" s="3" t="s">
        <v>1381</v>
      </c>
      <c r="I215" s="4" t="s">
        <v>21</v>
      </c>
      <c r="J215" s="7">
        <v>16675</v>
      </c>
      <c r="K215" s="8">
        <v>26560</v>
      </c>
      <c r="L215" s="8">
        <v>11765</v>
      </c>
      <c r="M215" s="8">
        <v>1345</v>
      </c>
      <c r="N215" s="11">
        <v>0</v>
      </c>
      <c r="O215" s="12"/>
      <c r="P215" t="s">
        <v>1359</v>
      </c>
      <c r="R215" s="53" t="s">
        <v>1362</v>
      </c>
      <c r="S215" s="54">
        <v>54</v>
      </c>
      <c r="T215" s="53" t="s">
        <v>1363</v>
      </c>
      <c r="U215" s="54">
        <v>31</v>
      </c>
    </row>
    <row r="216" spans="1:21" ht="54.75" hidden="1" customHeight="1" x14ac:dyDescent="0.25">
      <c r="A216" s="2" t="s">
        <v>810</v>
      </c>
      <c r="B216" s="3" t="s">
        <v>811</v>
      </c>
      <c r="C216" s="4">
        <v>1</v>
      </c>
      <c r="D216" s="4" t="s">
        <v>812</v>
      </c>
      <c r="E216" s="3" t="s">
        <v>813</v>
      </c>
      <c r="F216" s="3" t="s">
        <v>16</v>
      </c>
      <c r="G216" s="3" t="s">
        <v>35</v>
      </c>
      <c r="H216" s="3" t="s">
        <v>1375</v>
      </c>
      <c r="I216" s="4" t="s">
        <v>21</v>
      </c>
      <c r="J216" s="7">
        <v>16425</v>
      </c>
      <c r="K216" s="8">
        <v>24653</v>
      </c>
      <c r="L216" s="8">
        <v>4913</v>
      </c>
      <c r="M216" s="8">
        <v>940</v>
      </c>
      <c r="N216" s="11">
        <v>3371</v>
      </c>
      <c r="O216" s="12">
        <v>45956</v>
      </c>
      <c r="P216" s="2" t="s">
        <v>1361</v>
      </c>
      <c r="Q216" s="52">
        <v>732</v>
      </c>
      <c r="R216" s="53" t="s">
        <v>1362</v>
      </c>
      <c r="S216" s="54">
        <v>54</v>
      </c>
      <c r="T216" s="53" t="s">
        <v>1363</v>
      </c>
      <c r="U216" s="54">
        <v>31</v>
      </c>
    </row>
    <row r="217" spans="1:21" ht="54.75" hidden="1" customHeight="1" x14ac:dyDescent="0.25">
      <c r="A217" s="2" t="s">
        <v>814</v>
      </c>
      <c r="B217" s="3" t="s">
        <v>815</v>
      </c>
      <c r="C217" s="4">
        <v>1</v>
      </c>
      <c r="D217" s="4" t="s">
        <v>816</v>
      </c>
      <c r="E217" s="3" t="s">
        <v>817</v>
      </c>
      <c r="F217" s="3" t="s">
        <v>40</v>
      </c>
      <c r="G217" s="3" t="s">
        <v>35</v>
      </c>
      <c r="H217" s="3" t="s">
        <v>1375</v>
      </c>
      <c r="I217" s="4" t="s">
        <v>21</v>
      </c>
      <c r="J217" s="7">
        <v>16390</v>
      </c>
      <c r="K217" s="8">
        <v>23330</v>
      </c>
      <c r="L217" s="8">
        <v>3490</v>
      </c>
      <c r="M217" s="8">
        <v>1240</v>
      </c>
      <c r="N217" s="11">
        <v>1000</v>
      </c>
      <c r="O217" s="12">
        <v>45938</v>
      </c>
      <c r="P217" s="2" t="s">
        <v>1358</v>
      </c>
      <c r="Q217" s="52">
        <v>772</v>
      </c>
      <c r="R217" s="53" t="s">
        <v>1362</v>
      </c>
      <c r="S217" s="54">
        <v>54</v>
      </c>
      <c r="T217" s="53" t="s">
        <v>1363</v>
      </c>
      <c r="U217" s="54">
        <v>31</v>
      </c>
    </row>
    <row r="218" spans="1:21" ht="54.75" hidden="1" customHeight="1" x14ac:dyDescent="0.25">
      <c r="A218" s="2" t="s">
        <v>818</v>
      </c>
      <c r="B218" s="3" t="s">
        <v>819</v>
      </c>
      <c r="C218" s="4">
        <v>1</v>
      </c>
      <c r="D218" s="4" t="s">
        <v>820</v>
      </c>
      <c r="E218" s="3" t="s">
        <v>821</v>
      </c>
      <c r="F218" s="3" t="s">
        <v>11</v>
      </c>
      <c r="G218" s="3" t="s">
        <v>11</v>
      </c>
      <c r="H218" s="3" t="s">
        <v>1381</v>
      </c>
      <c r="I218" s="4" t="s">
        <v>21</v>
      </c>
      <c r="J218" s="7">
        <v>16315</v>
      </c>
      <c r="K218" s="8">
        <v>23442</v>
      </c>
      <c r="L218" s="8">
        <v>23442</v>
      </c>
      <c r="M218" s="8">
        <v>4295</v>
      </c>
      <c r="N218" s="11">
        <v>0</v>
      </c>
      <c r="O218" s="12"/>
      <c r="P218" s="2" t="s">
        <v>1360</v>
      </c>
      <c r="Q218" s="52">
        <v>763</v>
      </c>
      <c r="R218" s="53" t="s">
        <v>1362</v>
      </c>
      <c r="S218" s="54">
        <v>54</v>
      </c>
      <c r="T218" s="53" t="s">
        <v>1363</v>
      </c>
      <c r="U218" s="54">
        <v>31</v>
      </c>
    </row>
    <row r="219" spans="1:21" ht="54.75" hidden="1" customHeight="1" x14ac:dyDescent="0.25">
      <c r="A219" s="2" t="s">
        <v>822</v>
      </c>
      <c r="B219" s="3" t="s">
        <v>823</v>
      </c>
      <c r="C219" s="4">
        <v>2</v>
      </c>
      <c r="D219" s="4" t="s">
        <v>824</v>
      </c>
      <c r="E219" s="3" t="s">
        <v>825</v>
      </c>
      <c r="F219" s="3" t="s">
        <v>16</v>
      </c>
      <c r="G219" s="3" t="s">
        <v>29</v>
      </c>
      <c r="H219" s="3" t="s">
        <v>1375</v>
      </c>
      <c r="I219" s="4" t="s">
        <v>21</v>
      </c>
      <c r="J219" s="7">
        <v>16238</v>
      </c>
      <c r="K219" s="8">
        <v>22127</v>
      </c>
      <c r="L219" s="8">
        <v>14792</v>
      </c>
      <c r="M219" s="8">
        <v>2445</v>
      </c>
      <c r="N219" s="11">
        <v>3301</v>
      </c>
      <c r="O219" s="12">
        <v>45958</v>
      </c>
      <c r="P219" s="2" t="s">
        <v>1358</v>
      </c>
      <c r="Q219" s="52">
        <v>772</v>
      </c>
      <c r="R219" s="53" t="s">
        <v>1362</v>
      </c>
      <c r="S219" s="54">
        <v>54</v>
      </c>
      <c r="T219" s="53" t="s">
        <v>1363</v>
      </c>
      <c r="U219" s="54">
        <v>31</v>
      </c>
    </row>
    <row r="220" spans="1:21" ht="54.75" customHeight="1" x14ac:dyDescent="0.25">
      <c r="A220" s="2" t="s">
        <v>826</v>
      </c>
      <c r="B220" s="3" t="s">
        <v>827</v>
      </c>
      <c r="C220" s="4">
        <v>1</v>
      </c>
      <c r="D220" s="4" t="s">
        <v>828</v>
      </c>
      <c r="E220" s="3" t="s">
        <v>829</v>
      </c>
      <c r="F220" s="3" t="s">
        <v>29</v>
      </c>
      <c r="G220" s="3" t="s">
        <v>40</v>
      </c>
      <c r="H220" s="3" t="s">
        <v>1375</v>
      </c>
      <c r="I220" s="4" t="s">
        <v>21</v>
      </c>
      <c r="J220" s="7">
        <v>16220</v>
      </c>
      <c r="K220" s="8">
        <v>26823</v>
      </c>
      <c r="L220" s="8">
        <v>4923</v>
      </c>
      <c r="M220" s="8">
        <v>1095</v>
      </c>
      <c r="N220" s="11">
        <v>1300</v>
      </c>
      <c r="O220" s="12">
        <v>45947</v>
      </c>
      <c r="P220" t="s">
        <v>1359</v>
      </c>
      <c r="R220" s="53" t="s">
        <v>1362</v>
      </c>
      <c r="S220" s="54">
        <v>54</v>
      </c>
      <c r="T220" s="53" t="s">
        <v>1363</v>
      </c>
      <c r="U220" s="54">
        <v>31</v>
      </c>
    </row>
    <row r="221" spans="1:21" ht="54.75" hidden="1" customHeight="1" x14ac:dyDescent="0.25">
      <c r="A221" s="2" t="s">
        <v>830</v>
      </c>
      <c r="B221" s="3" t="s">
        <v>831</v>
      </c>
      <c r="C221" s="4">
        <v>1</v>
      </c>
      <c r="D221" s="4" t="s">
        <v>832</v>
      </c>
      <c r="E221" s="3" t="s">
        <v>833</v>
      </c>
      <c r="F221" s="3" t="s">
        <v>11</v>
      </c>
      <c r="G221" s="3" t="s">
        <v>11</v>
      </c>
      <c r="H221" s="3" t="s">
        <v>1381</v>
      </c>
      <c r="I221" s="4" t="s">
        <v>21</v>
      </c>
      <c r="J221" s="7">
        <v>16035</v>
      </c>
      <c r="K221" s="8">
        <v>25501</v>
      </c>
      <c r="L221" s="8">
        <v>12051</v>
      </c>
      <c r="M221" s="8">
        <v>1345</v>
      </c>
      <c r="N221" s="11">
        <v>0</v>
      </c>
      <c r="O221" s="12"/>
      <c r="P221" s="2" t="s">
        <v>1361</v>
      </c>
      <c r="Q221" s="52">
        <v>732</v>
      </c>
      <c r="R221" s="53" t="s">
        <v>1362</v>
      </c>
      <c r="S221" s="54">
        <v>54</v>
      </c>
      <c r="T221" s="53" t="s">
        <v>1363</v>
      </c>
      <c r="U221" s="54">
        <v>31</v>
      </c>
    </row>
    <row r="222" spans="1:21" ht="54.75" hidden="1" customHeight="1" x14ac:dyDescent="0.25">
      <c r="A222" s="2" t="s">
        <v>834</v>
      </c>
      <c r="B222" s="3" t="s">
        <v>835</v>
      </c>
      <c r="C222" s="4">
        <v>1</v>
      </c>
      <c r="D222" s="4" t="s">
        <v>836</v>
      </c>
      <c r="E222" s="3" t="s">
        <v>837</v>
      </c>
      <c r="F222" s="3" t="s">
        <v>43</v>
      </c>
      <c r="G222" s="3" t="s">
        <v>29</v>
      </c>
      <c r="H222" s="3" t="s">
        <v>1375</v>
      </c>
      <c r="I222" s="4" t="s">
        <v>21</v>
      </c>
      <c r="J222" s="7">
        <v>16005</v>
      </c>
      <c r="K222" s="8">
        <v>19498</v>
      </c>
      <c r="L222" s="8">
        <v>19498</v>
      </c>
      <c r="M222" s="8">
        <v>2920</v>
      </c>
      <c r="N222" s="11">
        <v>7000</v>
      </c>
      <c r="O222" s="12">
        <v>45941</v>
      </c>
      <c r="P222" s="2" t="s">
        <v>1358</v>
      </c>
      <c r="Q222" s="52">
        <v>772</v>
      </c>
      <c r="R222" s="53" t="s">
        <v>1362</v>
      </c>
      <c r="S222" s="54">
        <v>54</v>
      </c>
      <c r="T222" s="53" t="s">
        <v>1363</v>
      </c>
      <c r="U222" s="54">
        <v>31</v>
      </c>
    </row>
    <row r="223" spans="1:21" ht="54.75" hidden="1" customHeight="1" x14ac:dyDescent="0.25">
      <c r="A223" s="2" t="s">
        <v>838</v>
      </c>
      <c r="B223" s="3" t="s">
        <v>839</v>
      </c>
      <c r="C223" s="4">
        <v>1</v>
      </c>
      <c r="D223" s="4" t="s">
        <v>840</v>
      </c>
      <c r="E223" s="3" t="s">
        <v>841</v>
      </c>
      <c r="F223" s="3" t="s">
        <v>16</v>
      </c>
      <c r="G223" s="3" t="s">
        <v>29</v>
      </c>
      <c r="H223" s="3" t="s">
        <v>1375</v>
      </c>
      <c r="I223" s="4" t="s">
        <v>21</v>
      </c>
      <c r="J223" s="7">
        <v>15948</v>
      </c>
      <c r="K223" s="8">
        <v>20960</v>
      </c>
      <c r="L223" s="8">
        <v>6960</v>
      </c>
      <c r="M223" s="8">
        <v>1400</v>
      </c>
      <c r="N223" s="11">
        <v>1400</v>
      </c>
      <c r="O223" s="12">
        <v>45958</v>
      </c>
      <c r="P223" s="2" t="s">
        <v>1360</v>
      </c>
      <c r="Q223" s="52">
        <v>763</v>
      </c>
      <c r="R223" s="53" t="s">
        <v>1362</v>
      </c>
      <c r="S223" s="54">
        <v>54</v>
      </c>
      <c r="T223" s="53" t="s">
        <v>1363</v>
      </c>
      <c r="U223" s="54">
        <v>31</v>
      </c>
    </row>
    <row r="224" spans="1:21" ht="54.75" hidden="1" customHeight="1" x14ac:dyDescent="0.25">
      <c r="A224" s="2" t="s">
        <v>842</v>
      </c>
      <c r="B224" s="3" t="s">
        <v>379</v>
      </c>
      <c r="C224" s="4">
        <v>2</v>
      </c>
      <c r="D224" s="4" t="s">
        <v>380</v>
      </c>
      <c r="E224" s="3" t="s">
        <v>381</v>
      </c>
      <c r="F224" s="3" t="s">
        <v>43</v>
      </c>
      <c r="G224" s="3" t="s">
        <v>43</v>
      </c>
      <c r="H224" s="3" t="s">
        <v>1375</v>
      </c>
      <c r="I224" s="4" t="s">
        <v>21</v>
      </c>
      <c r="J224" s="7">
        <v>15820</v>
      </c>
      <c r="K224" s="8">
        <v>22561</v>
      </c>
      <c r="L224" s="8">
        <v>11256</v>
      </c>
      <c r="M224" s="8">
        <v>1615</v>
      </c>
      <c r="N224" s="11">
        <v>0</v>
      </c>
      <c r="O224" s="12"/>
      <c r="P224" s="2" t="s">
        <v>1361</v>
      </c>
      <c r="Q224" s="52">
        <v>732</v>
      </c>
      <c r="R224" s="53" t="s">
        <v>1362</v>
      </c>
      <c r="S224" s="54">
        <v>54</v>
      </c>
      <c r="T224" s="53" t="s">
        <v>1363</v>
      </c>
      <c r="U224" s="54">
        <v>31</v>
      </c>
    </row>
    <row r="225" spans="1:21" ht="54.75" hidden="1" customHeight="1" x14ac:dyDescent="0.25">
      <c r="A225" s="2" t="s">
        <v>843</v>
      </c>
      <c r="B225" s="3" t="s">
        <v>70</v>
      </c>
      <c r="C225" s="4">
        <v>3</v>
      </c>
      <c r="D225" s="4" t="s">
        <v>71</v>
      </c>
      <c r="E225" s="3" t="s">
        <v>72</v>
      </c>
      <c r="F225" s="3" t="s">
        <v>29</v>
      </c>
      <c r="G225" s="3" t="s">
        <v>29</v>
      </c>
      <c r="H225" s="3" t="s">
        <v>1375</v>
      </c>
      <c r="I225" s="4" t="s">
        <v>21</v>
      </c>
      <c r="J225" s="7">
        <v>15753</v>
      </c>
      <c r="K225" s="8">
        <v>29212</v>
      </c>
      <c r="L225" s="8">
        <v>4199</v>
      </c>
      <c r="M225" s="8">
        <v>925</v>
      </c>
      <c r="N225" s="11">
        <v>0</v>
      </c>
      <c r="O225" s="12"/>
      <c r="P225" s="2" t="s">
        <v>1358</v>
      </c>
      <c r="Q225" s="52">
        <v>772</v>
      </c>
      <c r="R225" s="53" t="s">
        <v>1362</v>
      </c>
      <c r="S225" s="54">
        <v>54</v>
      </c>
      <c r="T225" s="53" t="s">
        <v>1363</v>
      </c>
      <c r="U225" s="54">
        <v>31</v>
      </c>
    </row>
    <row r="226" spans="1:21" ht="54.75" customHeight="1" x14ac:dyDescent="0.25">
      <c r="A226" s="2" t="s">
        <v>844</v>
      </c>
      <c r="B226" s="3" t="s">
        <v>845</v>
      </c>
      <c r="C226" s="4">
        <v>5</v>
      </c>
      <c r="D226" s="4" t="s">
        <v>846</v>
      </c>
      <c r="E226" s="3" t="s">
        <v>847</v>
      </c>
      <c r="F226" s="3" t="s">
        <v>16</v>
      </c>
      <c r="G226" s="3" t="s">
        <v>16</v>
      </c>
      <c r="H226" s="3" t="s">
        <v>1375</v>
      </c>
      <c r="I226" s="4" t="s">
        <v>21</v>
      </c>
      <c r="J226" s="7">
        <v>15715</v>
      </c>
      <c r="K226" s="8">
        <v>22800</v>
      </c>
      <c r="L226" s="8">
        <v>9165</v>
      </c>
      <c r="M226" s="8">
        <v>1515</v>
      </c>
      <c r="N226" s="11">
        <v>0</v>
      </c>
      <c r="O226" s="12"/>
      <c r="P226" t="s">
        <v>1359</v>
      </c>
      <c r="R226" s="53" t="s">
        <v>1362</v>
      </c>
      <c r="S226" s="54">
        <v>54</v>
      </c>
      <c r="T226" s="53" t="s">
        <v>1363</v>
      </c>
      <c r="U226" s="54">
        <v>31</v>
      </c>
    </row>
    <row r="227" spans="1:21" ht="54.75" customHeight="1" x14ac:dyDescent="0.25">
      <c r="A227" s="2" t="s">
        <v>848</v>
      </c>
      <c r="B227" s="3" t="s">
        <v>849</v>
      </c>
      <c r="C227" s="4">
        <v>1</v>
      </c>
      <c r="D227" s="4" t="s">
        <v>850</v>
      </c>
      <c r="E227" s="3" t="s">
        <v>851</v>
      </c>
      <c r="F227" s="3" t="s">
        <v>40</v>
      </c>
      <c r="G227" s="3" t="s">
        <v>40</v>
      </c>
      <c r="H227" s="3" t="s">
        <v>1375</v>
      </c>
      <c r="I227" s="4" t="s">
        <v>21</v>
      </c>
      <c r="J227" s="7">
        <v>15538</v>
      </c>
      <c r="K227" s="8">
        <v>24468</v>
      </c>
      <c r="L227" s="8">
        <v>2568</v>
      </c>
      <c r="M227" s="8">
        <v>1095</v>
      </c>
      <c r="N227" s="11">
        <v>0</v>
      </c>
      <c r="O227" s="12"/>
      <c r="P227" t="s">
        <v>1359</v>
      </c>
      <c r="R227" s="53" t="s">
        <v>1362</v>
      </c>
      <c r="S227" s="54">
        <v>54</v>
      </c>
      <c r="T227" s="53" t="s">
        <v>1363</v>
      </c>
      <c r="U227" s="54">
        <v>31</v>
      </c>
    </row>
    <row r="228" spans="1:21" ht="54.75" hidden="1" customHeight="1" x14ac:dyDescent="0.25">
      <c r="A228" s="2" t="s">
        <v>852</v>
      </c>
      <c r="B228" s="3" t="s">
        <v>509</v>
      </c>
      <c r="C228" s="4">
        <v>5</v>
      </c>
      <c r="D228" s="4" t="s">
        <v>510</v>
      </c>
      <c r="E228" s="3" t="s">
        <v>511</v>
      </c>
      <c r="F228" s="3" t="s">
        <v>11</v>
      </c>
      <c r="G228" s="3" t="s">
        <v>11</v>
      </c>
      <c r="H228" s="3" t="s">
        <v>1381</v>
      </c>
      <c r="I228" s="4" t="s">
        <v>21</v>
      </c>
      <c r="J228" s="7">
        <v>15525</v>
      </c>
      <c r="K228" s="8">
        <v>18907</v>
      </c>
      <c r="L228" s="8">
        <v>15457</v>
      </c>
      <c r="M228" s="8">
        <v>1725</v>
      </c>
      <c r="N228" s="11">
        <v>0</v>
      </c>
      <c r="O228" s="12"/>
      <c r="P228" s="2" t="s">
        <v>1361</v>
      </c>
      <c r="Q228" s="52">
        <v>732</v>
      </c>
      <c r="R228" s="53" t="s">
        <v>1362</v>
      </c>
      <c r="S228" s="54">
        <v>54</v>
      </c>
      <c r="T228" s="53" t="s">
        <v>1363</v>
      </c>
      <c r="U228" s="54">
        <v>31</v>
      </c>
    </row>
    <row r="229" spans="1:21" ht="54.75" hidden="1" customHeight="1" x14ac:dyDescent="0.25">
      <c r="A229" s="2" t="s">
        <v>853</v>
      </c>
      <c r="B229" s="3" t="s">
        <v>854</v>
      </c>
      <c r="C229" s="4">
        <v>1</v>
      </c>
      <c r="D229" s="4" t="s">
        <v>855</v>
      </c>
      <c r="E229" s="3" t="s">
        <v>856</v>
      </c>
      <c r="F229" s="3" t="s">
        <v>11</v>
      </c>
      <c r="G229" s="3" t="s">
        <v>11</v>
      </c>
      <c r="H229" s="3" t="s">
        <v>1381</v>
      </c>
      <c r="I229" s="4" t="s">
        <v>21</v>
      </c>
      <c r="J229" s="7">
        <v>15370</v>
      </c>
      <c r="K229" s="8">
        <v>24156</v>
      </c>
      <c r="L229" s="8">
        <v>12051</v>
      </c>
      <c r="M229" s="8">
        <v>1345</v>
      </c>
      <c r="N229" s="11">
        <v>0</v>
      </c>
      <c r="O229" s="12"/>
      <c r="P229" s="2" t="s">
        <v>1361</v>
      </c>
      <c r="Q229" s="52">
        <v>732</v>
      </c>
      <c r="R229" s="53" t="s">
        <v>1362</v>
      </c>
      <c r="S229" s="54">
        <v>54</v>
      </c>
      <c r="T229" s="53" t="s">
        <v>1363</v>
      </c>
      <c r="U229" s="54">
        <v>31</v>
      </c>
    </row>
    <row r="230" spans="1:21" ht="54.75" hidden="1" customHeight="1" x14ac:dyDescent="0.25">
      <c r="A230" s="2" t="s">
        <v>857</v>
      </c>
      <c r="B230" s="3" t="s">
        <v>858</v>
      </c>
      <c r="C230" s="4">
        <v>1</v>
      </c>
      <c r="D230" s="4" t="s">
        <v>859</v>
      </c>
      <c r="E230" s="3" t="s">
        <v>860</v>
      </c>
      <c r="F230" s="3" t="s">
        <v>40</v>
      </c>
      <c r="G230" s="3" t="s">
        <v>35</v>
      </c>
      <c r="H230" s="3" t="s">
        <v>1375</v>
      </c>
      <c r="I230" s="4" t="s">
        <v>21</v>
      </c>
      <c r="J230" s="7">
        <v>15370</v>
      </c>
      <c r="K230" s="8">
        <v>22084</v>
      </c>
      <c r="L230" s="8">
        <v>4599</v>
      </c>
      <c r="M230" s="8">
        <v>1345</v>
      </c>
      <c r="N230" s="11">
        <v>1630</v>
      </c>
      <c r="O230" s="12">
        <v>45939</v>
      </c>
      <c r="P230" s="2" t="s">
        <v>1358</v>
      </c>
      <c r="Q230" s="52">
        <v>772</v>
      </c>
      <c r="R230" s="53" t="s">
        <v>1362</v>
      </c>
      <c r="S230" s="54">
        <v>54</v>
      </c>
      <c r="T230" s="53" t="s">
        <v>1363</v>
      </c>
      <c r="U230" s="54">
        <v>31</v>
      </c>
    </row>
    <row r="231" spans="1:21" ht="54.75" hidden="1" customHeight="1" x14ac:dyDescent="0.25">
      <c r="A231" s="2" t="s">
        <v>861</v>
      </c>
      <c r="B231" s="3" t="s">
        <v>862</v>
      </c>
      <c r="C231" s="4">
        <v>1</v>
      </c>
      <c r="D231" s="4" t="s">
        <v>863</v>
      </c>
      <c r="E231" s="3" t="s">
        <v>864</v>
      </c>
      <c r="F231" s="3" t="s">
        <v>40</v>
      </c>
      <c r="G231" s="3" t="s">
        <v>139</v>
      </c>
      <c r="H231" s="3" t="s">
        <v>1375</v>
      </c>
      <c r="I231" s="4" t="s">
        <v>21</v>
      </c>
      <c r="J231" s="7">
        <v>15310</v>
      </c>
      <c r="K231" s="8">
        <v>26024</v>
      </c>
      <c r="L231" s="8">
        <v>3369</v>
      </c>
      <c r="M231" s="8">
        <v>985</v>
      </c>
      <c r="N231" s="11">
        <v>1320</v>
      </c>
      <c r="O231" s="12">
        <v>45951</v>
      </c>
      <c r="P231" s="2" t="s">
        <v>1360</v>
      </c>
      <c r="Q231" s="52">
        <v>763</v>
      </c>
      <c r="R231" s="53" t="s">
        <v>1362</v>
      </c>
      <c r="S231" s="54">
        <v>54</v>
      </c>
      <c r="T231" s="53" t="s">
        <v>1363</v>
      </c>
      <c r="U231" s="54">
        <v>31</v>
      </c>
    </row>
    <row r="232" spans="1:21" ht="54.75" customHeight="1" x14ac:dyDescent="0.25">
      <c r="A232" s="2" t="s">
        <v>865</v>
      </c>
      <c r="B232" s="3" t="s">
        <v>866</v>
      </c>
      <c r="C232" s="4">
        <v>1</v>
      </c>
      <c r="D232" s="4" t="s">
        <v>867</v>
      </c>
      <c r="E232" s="3" t="s">
        <v>868</v>
      </c>
      <c r="F232" s="3" t="s">
        <v>29</v>
      </c>
      <c r="G232" s="3" t="s">
        <v>29</v>
      </c>
      <c r="H232" s="3" t="s">
        <v>1375</v>
      </c>
      <c r="I232" s="4" t="s">
        <v>21</v>
      </c>
      <c r="J232" s="7">
        <v>15145</v>
      </c>
      <c r="K232" s="8">
        <v>19705</v>
      </c>
      <c r="L232" s="8">
        <v>4865</v>
      </c>
      <c r="M232" s="8">
        <v>1060</v>
      </c>
      <c r="N232" s="11">
        <v>0</v>
      </c>
      <c r="O232" s="12"/>
      <c r="P232" t="s">
        <v>1359</v>
      </c>
      <c r="R232" s="53" t="s">
        <v>1362</v>
      </c>
      <c r="S232" s="54">
        <v>54</v>
      </c>
      <c r="T232" s="53" t="s">
        <v>1363</v>
      </c>
      <c r="U232" s="54">
        <v>31</v>
      </c>
    </row>
    <row r="233" spans="1:21" ht="54.75" hidden="1" customHeight="1" x14ac:dyDescent="0.25">
      <c r="A233" s="2" t="s">
        <v>869</v>
      </c>
      <c r="B233" s="3" t="s">
        <v>870</v>
      </c>
      <c r="C233" s="4">
        <v>1</v>
      </c>
      <c r="D233" s="4" t="s">
        <v>871</v>
      </c>
      <c r="E233" s="3" t="s">
        <v>872</v>
      </c>
      <c r="F233" s="3" t="s">
        <v>16</v>
      </c>
      <c r="G233" s="3" t="s">
        <v>16</v>
      </c>
      <c r="H233" s="3" t="s">
        <v>1375</v>
      </c>
      <c r="I233" s="4" t="s">
        <v>21</v>
      </c>
      <c r="J233" s="7">
        <v>15085</v>
      </c>
      <c r="K233" s="8">
        <v>23616</v>
      </c>
      <c r="L233" s="8">
        <v>6021</v>
      </c>
      <c r="M233" s="8">
        <v>1035</v>
      </c>
      <c r="N233" s="11">
        <v>500</v>
      </c>
      <c r="O233" s="12">
        <v>45950</v>
      </c>
      <c r="P233" s="2" t="s">
        <v>1361</v>
      </c>
      <c r="Q233" s="52">
        <v>732</v>
      </c>
      <c r="R233" s="53" t="s">
        <v>1362</v>
      </c>
      <c r="S233" s="54">
        <v>54</v>
      </c>
      <c r="T233" s="53" t="s">
        <v>1363</v>
      </c>
      <c r="U233" s="54">
        <v>31</v>
      </c>
    </row>
    <row r="234" spans="1:21" ht="54.75" customHeight="1" x14ac:dyDescent="0.25">
      <c r="A234" s="2" t="s">
        <v>873</v>
      </c>
      <c r="B234" s="3" t="s">
        <v>874</v>
      </c>
      <c r="C234" s="4">
        <v>2</v>
      </c>
      <c r="D234" s="4" t="s">
        <v>875</v>
      </c>
      <c r="E234" s="3" t="s">
        <v>876</v>
      </c>
      <c r="F234" s="3" t="s">
        <v>16</v>
      </c>
      <c r="G234" s="3" t="s">
        <v>16</v>
      </c>
      <c r="H234" s="3" t="s">
        <v>1375</v>
      </c>
      <c r="I234" s="4" t="s">
        <v>21</v>
      </c>
      <c r="J234" s="7">
        <v>15057</v>
      </c>
      <c r="K234" s="8">
        <v>19112</v>
      </c>
      <c r="L234" s="8">
        <v>13712</v>
      </c>
      <c r="M234" s="8">
        <v>2700</v>
      </c>
      <c r="N234" s="11">
        <v>0</v>
      </c>
      <c r="O234" s="12"/>
      <c r="P234" t="s">
        <v>1359</v>
      </c>
      <c r="R234" s="53" t="s">
        <v>1362</v>
      </c>
      <c r="S234" s="54">
        <v>54</v>
      </c>
      <c r="T234" s="53" t="s">
        <v>1363</v>
      </c>
      <c r="U234" s="54">
        <v>31</v>
      </c>
    </row>
    <row r="235" spans="1:21" ht="54.75" customHeight="1" x14ac:dyDescent="0.25">
      <c r="A235" s="2" t="s">
        <v>877</v>
      </c>
      <c r="B235" s="3" t="s">
        <v>765</v>
      </c>
      <c r="C235" s="4">
        <v>2</v>
      </c>
      <c r="D235" s="4" t="s">
        <v>766</v>
      </c>
      <c r="E235" s="3" t="s">
        <v>767</v>
      </c>
      <c r="F235" s="3" t="s">
        <v>29</v>
      </c>
      <c r="G235" s="3" t="s">
        <v>40</v>
      </c>
      <c r="H235" s="3" t="s">
        <v>1375</v>
      </c>
      <c r="I235" s="4" t="s">
        <v>21</v>
      </c>
      <c r="J235" s="7">
        <v>14895</v>
      </c>
      <c r="K235" s="8">
        <v>19306</v>
      </c>
      <c r="L235" s="8">
        <v>6636</v>
      </c>
      <c r="M235" s="8">
        <v>1810</v>
      </c>
      <c r="N235" s="11">
        <v>1526</v>
      </c>
      <c r="O235" s="12">
        <v>45946</v>
      </c>
      <c r="P235" t="s">
        <v>1359</v>
      </c>
      <c r="R235" s="53" t="s">
        <v>1362</v>
      </c>
      <c r="S235" s="54">
        <v>54</v>
      </c>
      <c r="T235" s="53" t="s">
        <v>1363</v>
      </c>
      <c r="U235" s="54">
        <v>31</v>
      </c>
    </row>
    <row r="236" spans="1:21" ht="54.75" hidden="1" customHeight="1" x14ac:dyDescent="0.25">
      <c r="A236" s="2" t="s">
        <v>878</v>
      </c>
      <c r="B236" s="3" t="s">
        <v>879</v>
      </c>
      <c r="C236" s="4">
        <v>1</v>
      </c>
      <c r="D236" s="4" t="s">
        <v>880</v>
      </c>
      <c r="E236" s="3" t="s">
        <v>881</v>
      </c>
      <c r="F236" s="3" t="s">
        <v>43</v>
      </c>
      <c r="G236" s="3" t="s">
        <v>43</v>
      </c>
      <c r="H236" s="3" t="s">
        <v>1375</v>
      </c>
      <c r="I236" s="4" t="s">
        <v>21</v>
      </c>
      <c r="J236" s="7">
        <v>14875</v>
      </c>
      <c r="K236" s="8">
        <v>20527</v>
      </c>
      <c r="L236" s="8">
        <v>10837</v>
      </c>
      <c r="M236" s="8">
        <v>1615</v>
      </c>
      <c r="N236" s="11">
        <v>0</v>
      </c>
      <c r="O236" s="12"/>
      <c r="P236" s="2" t="s">
        <v>1358</v>
      </c>
      <c r="Q236" s="52">
        <v>772</v>
      </c>
      <c r="R236" s="53" t="s">
        <v>1362</v>
      </c>
      <c r="S236" s="54">
        <v>54</v>
      </c>
      <c r="T236" s="53" t="s">
        <v>1363</v>
      </c>
      <c r="U236" s="54">
        <v>31</v>
      </c>
    </row>
    <row r="237" spans="1:21" ht="54.75" hidden="1" customHeight="1" x14ac:dyDescent="0.25">
      <c r="A237" s="2" t="s">
        <v>882</v>
      </c>
      <c r="B237" s="3" t="s">
        <v>883</v>
      </c>
      <c r="C237" s="4">
        <v>1</v>
      </c>
      <c r="D237" s="4" t="s">
        <v>884</v>
      </c>
      <c r="E237" s="3" t="s">
        <v>885</v>
      </c>
      <c r="F237" s="3" t="s">
        <v>43</v>
      </c>
      <c r="G237" s="3" t="s">
        <v>43</v>
      </c>
      <c r="H237" s="3" t="s">
        <v>1375</v>
      </c>
      <c r="I237" s="4" t="s">
        <v>21</v>
      </c>
      <c r="J237" s="7">
        <v>14410</v>
      </c>
      <c r="K237" s="8">
        <v>27727</v>
      </c>
      <c r="L237" s="8">
        <v>5452</v>
      </c>
      <c r="M237" s="8">
        <v>825</v>
      </c>
      <c r="N237" s="11">
        <v>0</v>
      </c>
      <c r="O237" s="12"/>
      <c r="P237" s="2" t="s">
        <v>1360</v>
      </c>
      <c r="Q237" s="52">
        <v>763</v>
      </c>
      <c r="R237" s="53" t="s">
        <v>1362</v>
      </c>
      <c r="S237" s="54">
        <v>54</v>
      </c>
      <c r="T237" s="53" t="s">
        <v>1363</v>
      </c>
      <c r="U237" s="54">
        <v>31</v>
      </c>
    </row>
    <row r="238" spans="1:21" ht="54.75" customHeight="1" x14ac:dyDescent="0.25">
      <c r="A238" s="2" t="s">
        <v>886</v>
      </c>
      <c r="B238" s="3" t="s">
        <v>887</v>
      </c>
      <c r="C238" s="4">
        <v>1</v>
      </c>
      <c r="D238" s="4" t="s">
        <v>888</v>
      </c>
      <c r="E238" s="3" t="s">
        <v>889</v>
      </c>
      <c r="F238" s="3" t="s">
        <v>16</v>
      </c>
      <c r="G238" s="3" t="s">
        <v>16</v>
      </c>
      <c r="H238" s="3" t="s">
        <v>1375</v>
      </c>
      <c r="I238" s="4" t="s">
        <v>21</v>
      </c>
      <c r="J238" s="7">
        <v>14405</v>
      </c>
      <c r="K238" s="8">
        <v>21930</v>
      </c>
      <c r="L238" s="8">
        <v>7350</v>
      </c>
      <c r="M238" s="8">
        <v>1215</v>
      </c>
      <c r="N238" s="11">
        <v>0</v>
      </c>
      <c r="O238" s="12"/>
      <c r="P238" t="s">
        <v>1359</v>
      </c>
      <c r="R238" s="53" t="s">
        <v>1362</v>
      </c>
      <c r="S238" s="54">
        <v>54</v>
      </c>
      <c r="T238" s="53" t="s">
        <v>1363</v>
      </c>
      <c r="U238" s="54">
        <v>31</v>
      </c>
    </row>
    <row r="239" spans="1:21" ht="54.75" customHeight="1" x14ac:dyDescent="0.25">
      <c r="A239" s="2" t="s">
        <v>890</v>
      </c>
      <c r="B239" s="3" t="s">
        <v>391</v>
      </c>
      <c r="C239" s="4">
        <v>4</v>
      </c>
      <c r="D239" s="4" t="s">
        <v>392</v>
      </c>
      <c r="E239" s="3" t="s">
        <v>393</v>
      </c>
      <c r="F239" s="3" t="s">
        <v>16</v>
      </c>
      <c r="G239" s="3" t="s">
        <v>41</v>
      </c>
      <c r="H239" s="3" t="s">
        <v>1375</v>
      </c>
      <c r="I239" s="4" t="s">
        <v>21</v>
      </c>
      <c r="J239" s="7">
        <v>14200</v>
      </c>
      <c r="K239" s="8">
        <v>27267</v>
      </c>
      <c r="L239" s="8">
        <v>4992</v>
      </c>
      <c r="M239" s="8">
        <v>825</v>
      </c>
      <c r="N239" s="11">
        <v>4992</v>
      </c>
      <c r="O239" s="12">
        <v>45956</v>
      </c>
      <c r="P239" t="s">
        <v>1359</v>
      </c>
      <c r="R239" s="53" t="s">
        <v>1362</v>
      </c>
      <c r="S239" s="54">
        <v>54</v>
      </c>
      <c r="T239" s="53" t="s">
        <v>1363</v>
      </c>
      <c r="U239" s="54">
        <v>31</v>
      </c>
    </row>
    <row r="240" spans="1:21" ht="54.75" customHeight="1" x14ac:dyDescent="0.25">
      <c r="A240" s="2" t="s">
        <v>891</v>
      </c>
      <c r="B240" s="3" t="s">
        <v>391</v>
      </c>
      <c r="C240" s="4">
        <v>4</v>
      </c>
      <c r="D240" s="4" t="s">
        <v>392</v>
      </c>
      <c r="E240" s="3" t="s">
        <v>393</v>
      </c>
      <c r="F240" s="3" t="s">
        <v>16</v>
      </c>
      <c r="G240" s="3" t="s">
        <v>41</v>
      </c>
      <c r="H240" s="3" t="s">
        <v>1375</v>
      </c>
      <c r="I240" s="4" t="s">
        <v>21</v>
      </c>
      <c r="J240" s="7">
        <v>14200</v>
      </c>
      <c r="K240" s="8">
        <v>27267</v>
      </c>
      <c r="L240" s="8">
        <v>4992</v>
      </c>
      <c r="M240" s="8">
        <v>825</v>
      </c>
      <c r="N240" s="11">
        <v>4992</v>
      </c>
      <c r="O240" s="12">
        <v>45956</v>
      </c>
      <c r="P240" t="s">
        <v>1359</v>
      </c>
      <c r="R240" s="53" t="s">
        <v>1362</v>
      </c>
      <c r="S240" s="54">
        <v>54</v>
      </c>
      <c r="T240" s="53" t="s">
        <v>1363</v>
      </c>
      <c r="U240" s="54">
        <v>31</v>
      </c>
    </row>
    <row r="241" spans="1:21" ht="54.75" hidden="1" customHeight="1" x14ac:dyDescent="0.25">
      <c r="A241" s="2" t="s">
        <v>892</v>
      </c>
      <c r="B241" s="3" t="s">
        <v>893</v>
      </c>
      <c r="C241" s="4">
        <v>1</v>
      </c>
      <c r="D241" s="4" t="s">
        <v>894</v>
      </c>
      <c r="E241" s="3" t="s">
        <v>895</v>
      </c>
      <c r="F241" s="3" t="s">
        <v>11</v>
      </c>
      <c r="G241" s="3" t="s">
        <v>41</v>
      </c>
      <c r="H241" s="3" t="s">
        <v>1381</v>
      </c>
      <c r="I241" s="4" t="s">
        <v>21</v>
      </c>
      <c r="J241" s="7">
        <v>13980</v>
      </c>
      <c r="K241" s="8">
        <v>26615</v>
      </c>
      <c r="L241" s="8">
        <v>6815</v>
      </c>
      <c r="M241" s="8">
        <v>825</v>
      </c>
      <c r="N241" s="11">
        <v>6815</v>
      </c>
      <c r="O241" s="12">
        <v>45954</v>
      </c>
      <c r="P241" s="2" t="s">
        <v>1361</v>
      </c>
      <c r="Q241" s="52">
        <v>732</v>
      </c>
      <c r="R241" s="53" t="s">
        <v>1362</v>
      </c>
      <c r="S241" s="54">
        <v>54</v>
      </c>
      <c r="T241" s="53" t="s">
        <v>1363</v>
      </c>
      <c r="U241" s="54">
        <v>31</v>
      </c>
    </row>
    <row r="242" spans="1:21" ht="54.75" hidden="1" customHeight="1" x14ac:dyDescent="0.25">
      <c r="A242" s="2" t="s">
        <v>896</v>
      </c>
      <c r="B242" s="3" t="s">
        <v>897</v>
      </c>
      <c r="C242" s="4">
        <v>6</v>
      </c>
      <c r="D242" s="4" t="s">
        <v>898</v>
      </c>
      <c r="E242" s="3" t="s">
        <v>899</v>
      </c>
      <c r="F242" s="3" t="s">
        <v>16</v>
      </c>
      <c r="G242" s="3" t="s">
        <v>16</v>
      </c>
      <c r="H242" s="3" t="s">
        <v>1375</v>
      </c>
      <c r="I242" s="4" t="s">
        <v>21</v>
      </c>
      <c r="J242" s="7">
        <v>13444</v>
      </c>
      <c r="K242" s="8">
        <v>16714</v>
      </c>
      <c r="L242" s="8">
        <v>10414</v>
      </c>
      <c r="M242" s="8">
        <v>2100</v>
      </c>
      <c r="N242" s="11">
        <v>0</v>
      </c>
      <c r="O242" s="12"/>
      <c r="P242" s="2" t="s">
        <v>1358</v>
      </c>
      <c r="Q242" s="52">
        <v>772</v>
      </c>
      <c r="R242" s="53" t="s">
        <v>1362</v>
      </c>
      <c r="S242" s="54">
        <v>54</v>
      </c>
      <c r="T242" s="53" t="s">
        <v>1363</v>
      </c>
      <c r="U242" s="54">
        <v>31</v>
      </c>
    </row>
    <row r="243" spans="1:21" ht="54.75" hidden="1" customHeight="1" x14ac:dyDescent="0.25">
      <c r="A243" s="2" t="s">
        <v>900</v>
      </c>
      <c r="B243" s="3" t="s">
        <v>901</v>
      </c>
      <c r="C243" s="4">
        <v>1</v>
      </c>
      <c r="D243" s="4" t="s">
        <v>902</v>
      </c>
      <c r="E243" s="3" t="s">
        <v>903</v>
      </c>
      <c r="F243" s="3" t="s">
        <v>43</v>
      </c>
      <c r="G243" s="3" t="s">
        <v>16</v>
      </c>
      <c r="H243" s="3" t="s">
        <v>1375</v>
      </c>
      <c r="I243" s="4" t="s">
        <v>21</v>
      </c>
      <c r="J243" s="7">
        <v>13260</v>
      </c>
      <c r="K243" s="8">
        <v>24191</v>
      </c>
      <c r="L243" s="8">
        <v>6041</v>
      </c>
      <c r="M243" s="8">
        <v>825</v>
      </c>
      <c r="N243" s="11">
        <v>1310</v>
      </c>
      <c r="O243" s="12">
        <v>45960</v>
      </c>
      <c r="P243" s="2" t="s">
        <v>1358</v>
      </c>
      <c r="Q243" s="52">
        <v>772</v>
      </c>
      <c r="R243" s="53" t="s">
        <v>1362</v>
      </c>
      <c r="S243" s="54">
        <v>54</v>
      </c>
      <c r="T243" s="53" t="s">
        <v>1363</v>
      </c>
      <c r="U243" s="54">
        <v>31</v>
      </c>
    </row>
    <row r="244" spans="1:21" ht="54.75" hidden="1" customHeight="1" x14ac:dyDescent="0.25">
      <c r="A244" s="2" t="s">
        <v>904</v>
      </c>
      <c r="B244" s="3" t="s">
        <v>509</v>
      </c>
      <c r="C244" s="4">
        <v>5</v>
      </c>
      <c r="D244" s="4" t="s">
        <v>510</v>
      </c>
      <c r="E244" s="3" t="s">
        <v>511</v>
      </c>
      <c r="F244" s="3" t="s">
        <v>11</v>
      </c>
      <c r="G244" s="3" t="s">
        <v>11</v>
      </c>
      <c r="H244" s="3" t="s">
        <v>1381</v>
      </c>
      <c r="I244" s="4" t="s">
        <v>21</v>
      </c>
      <c r="J244" s="7">
        <v>13243</v>
      </c>
      <c r="K244" s="8">
        <v>19838</v>
      </c>
      <c r="L244" s="8">
        <v>16218</v>
      </c>
      <c r="M244" s="8">
        <v>1810</v>
      </c>
      <c r="N244" s="11">
        <v>0</v>
      </c>
      <c r="O244" s="12"/>
      <c r="P244" s="2" t="s">
        <v>1361</v>
      </c>
      <c r="Q244" s="52">
        <v>732</v>
      </c>
      <c r="R244" s="53" t="s">
        <v>1362</v>
      </c>
      <c r="S244" s="54">
        <v>54</v>
      </c>
      <c r="T244" s="53" t="s">
        <v>1363</v>
      </c>
      <c r="U244" s="54">
        <v>31</v>
      </c>
    </row>
    <row r="245" spans="1:21" ht="54.75" hidden="1" customHeight="1" x14ac:dyDescent="0.25">
      <c r="A245" s="2" t="s">
        <v>905</v>
      </c>
      <c r="B245" s="3" t="s">
        <v>906</v>
      </c>
      <c r="C245" s="4">
        <v>3</v>
      </c>
      <c r="D245" s="4" t="s">
        <v>907</v>
      </c>
      <c r="E245" s="3" t="s">
        <v>908</v>
      </c>
      <c r="F245" s="3" t="s">
        <v>16</v>
      </c>
      <c r="G245" s="3" t="s">
        <v>16</v>
      </c>
      <c r="H245" s="3" t="s">
        <v>1375</v>
      </c>
      <c r="I245" s="4" t="s">
        <v>21</v>
      </c>
      <c r="J245" s="7">
        <v>13235</v>
      </c>
      <c r="K245" s="8">
        <v>20751</v>
      </c>
      <c r="L245" s="8">
        <v>6261</v>
      </c>
      <c r="M245" s="8">
        <v>1035</v>
      </c>
      <c r="N245" s="11">
        <v>0</v>
      </c>
      <c r="O245" s="12"/>
      <c r="P245" s="2" t="s">
        <v>1360</v>
      </c>
      <c r="Q245" s="52">
        <v>763</v>
      </c>
      <c r="R245" s="53" t="s">
        <v>1362</v>
      </c>
      <c r="S245" s="54">
        <v>54</v>
      </c>
      <c r="T245" s="53" t="s">
        <v>1363</v>
      </c>
      <c r="U245" s="54">
        <v>31</v>
      </c>
    </row>
    <row r="246" spans="1:21" ht="54.75" hidden="1" customHeight="1" x14ac:dyDescent="0.25">
      <c r="A246" s="2" t="s">
        <v>909</v>
      </c>
      <c r="B246" s="3" t="s">
        <v>910</v>
      </c>
      <c r="C246" s="4">
        <v>1</v>
      </c>
      <c r="D246" s="4" t="s">
        <v>911</v>
      </c>
      <c r="E246" s="3" t="s">
        <v>912</v>
      </c>
      <c r="F246" s="3" t="s">
        <v>43</v>
      </c>
      <c r="G246" s="3" t="s">
        <v>43</v>
      </c>
      <c r="H246" s="3" t="s">
        <v>1375</v>
      </c>
      <c r="I246" s="4" t="s">
        <v>21</v>
      </c>
      <c r="J246" s="7">
        <v>13195</v>
      </c>
      <c r="K246" s="8">
        <v>20010</v>
      </c>
      <c r="L246" s="8">
        <v>9075</v>
      </c>
      <c r="M246" s="8">
        <v>1215</v>
      </c>
      <c r="N246" s="11">
        <v>0</v>
      </c>
      <c r="O246" s="12"/>
      <c r="P246" s="2" t="s">
        <v>1360</v>
      </c>
      <c r="Q246" s="52">
        <v>763</v>
      </c>
      <c r="R246" s="53" t="s">
        <v>1362</v>
      </c>
      <c r="S246" s="54">
        <v>54</v>
      </c>
      <c r="T246" s="53" t="s">
        <v>1363</v>
      </c>
      <c r="U246" s="54">
        <v>31</v>
      </c>
    </row>
    <row r="247" spans="1:21" ht="54.75" hidden="1" customHeight="1" x14ac:dyDescent="0.25">
      <c r="A247" s="2" t="s">
        <v>913</v>
      </c>
      <c r="B247" s="3" t="s">
        <v>509</v>
      </c>
      <c r="C247" s="4">
        <v>5</v>
      </c>
      <c r="D247" s="4" t="s">
        <v>510</v>
      </c>
      <c r="E247" s="3" t="s">
        <v>511</v>
      </c>
      <c r="F247" s="3" t="s">
        <v>11</v>
      </c>
      <c r="G247" s="3" t="s">
        <v>11</v>
      </c>
      <c r="H247" s="3" t="s">
        <v>1381</v>
      </c>
      <c r="I247" s="4" t="s">
        <v>21</v>
      </c>
      <c r="J247" s="7">
        <v>13191</v>
      </c>
      <c r="K247" s="8">
        <v>18381</v>
      </c>
      <c r="L247" s="8">
        <v>14701</v>
      </c>
      <c r="M247" s="8">
        <v>1840</v>
      </c>
      <c r="N247" s="11">
        <v>0</v>
      </c>
      <c r="O247" s="12"/>
      <c r="P247" s="2" t="s">
        <v>1361</v>
      </c>
      <c r="Q247" s="52">
        <v>732</v>
      </c>
      <c r="R247" s="53" t="s">
        <v>1362</v>
      </c>
      <c r="S247" s="54">
        <v>54</v>
      </c>
      <c r="T247" s="53" t="s">
        <v>1363</v>
      </c>
      <c r="U247" s="54">
        <v>31</v>
      </c>
    </row>
    <row r="248" spans="1:21" ht="54.75" customHeight="1" x14ac:dyDescent="0.25">
      <c r="A248" s="2" t="s">
        <v>914</v>
      </c>
      <c r="B248" s="3" t="s">
        <v>915</v>
      </c>
      <c r="C248" s="4">
        <v>1</v>
      </c>
      <c r="D248" s="4" t="s">
        <v>916</v>
      </c>
      <c r="E248" s="3" t="s">
        <v>917</v>
      </c>
      <c r="F248" s="3" t="s">
        <v>11</v>
      </c>
      <c r="G248" s="3" t="s">
        <v>11</v>
      </c>
      <c r="H248" s="3" t="s">
        <v>1381</v>
      </c>
      <c r="I248" s="4" t="s">
        <v>21</v>
      </c>
      <c r="J248" s="7">
        <v>13179</v>
      </c>
      <c r="K248" s="8">
        <v>20220</v>
      </c>
      <c r="L248" s="8">
        <v>10500</v>
      </c>
      <c r="M248" s="8">
        <v>1215</v>
      </c>
      <c r="N248" s="11">
        <v>0</v>
      </c>
      <c r="O248" s="12"/>
      <c r="P248" t="s">
        <v>1359</v>
      </c>
      <c r="R248" s="53" t="s">
        <v>1362</v>
      </c>
      <c r="S248" s="54">
        <v>54</v>
      </c>
      <c r="T248" s="53" t="s">
        <v>1363</v>
      </c>
      <c r="U248" s="54">
        <v>31</v>
      </c>
    </row>
    <row r="249" spans="1:21" ht="54.75" hidden="1" customHeight="1" x14ac:dyDescent="0.25">
      <c r="A249" s="2" t="s">
        <v>918</v>
      </c>
      <c r="B249" s="3" t="s">
        <v>919</v>
      </c>
      <c r="C249" s="4">
        <v>1</v>
      </c>
      <c r="D249" s="4" t="s">
        <v>920</v>
      </c>
      <c r="E249" s="3" t="s">
        <v>921</v>
      </c>
      <c r="F249" s="3" t="s">
        <v>43</v>
      </c>
      <c r="G249" s="3" t="s">
        <v>43</v>
      </c>
      <c r="H249" s="3" t="s">
        <v>1375</v>
      </c>
      <c r="I249" s="4" t="s">
        <v>21</v>
      </c>
      <c r="J249" s="7">
        <v>13072</v>
      </c>
      <c r="K249" s="8">
        <v>20477</v>
      </c>
      <c r="L249" s="8">
        <v>6267</v>
      </c>
      <c r="M249" s="8">
        <v>1015</v>
      </c>
      <c r="N249" s="11">
        <v>0</v>
      </c>
      <c r="O249" s="12"/>
      <c r="P249" s="2" t="s">
        <v>1361</v>
      </c>
      <c r="Q249" s="52">
        <v>732</v>
      </c>
      <c r="R249" s="53" t="s">
        <v>1362</v>
      </c>
      <c r="S249" s="54">
        <v>54</v>
      </c>
      <c r="T249" s="53" t="s">
        <v>1363</v>
      </c>
      <c r="U249" s="54">
        <v>31</v>
      </c>
    </row>
    <row r="250" spans="1:21" ht="54.75" hidden="1" customHeight="1" x14ac:dyDescent="0.25">
      <c r="A250" s="2" t="s">
        <v>922</v>
      </c>
      <c r="B250" s="3" t="s">
        <v>326</v>
      </c>
      <c r="C250" s="4">
        <v>5</v>
      </c>
      <c r="D250" s="4" t="s">
        <v>327</v>
      </c>
      <c r="E250" s="3" t="s">
        <v>328</v>
      </c>
      <c r="F250" s="3" t="s">
        <v>11</v>
      </c>
      <c r="G250" s="3" t="s">
        <v>11</v>
      </c>
      <c r="H250" s="3" t="s">
        <v>1381</v>
      </c>
      <c r="I250" s="4" t="s">
        <v>21</v>
      </c>
      <c r="J250" s="7">
        <v>13070</v>
      </c>
      <c r="K250" s="8">
        <v>20564</v>
      </c>
      <c r="L250" s="8">
        <v>10259</v>
      </c>
      <c r="M250" s="8">
        <v>1145</v>
      </c>
      <c r="N250" s="11">
        <v>0</v>
      </c>
      <c r="O250" s="12"/>
      <c r="P250" s="2" t="s">
        <v>1358</v>
      </c>
      <c r="Q250" s="52">
        <v>772</v>
      </c>
      <c r="R250" s="53" t="s">
        <v>1362</v>
      </c>
      <c r="S250" s="54">
        <v>54</v>
      </c>
      <c r="T250" s="53" t="s">
        <v>1363</v>
      </c>
      <c r="U250" s="54">
        <v>31</v>
      </c>
    </row>
    <row r="251" spans="1:21" ht="54.75" hidden="1" customHeight="1" x14ac:dyDescent="0.25">
      <c r="A251" s="2" t="s">
        <v>923</v>
      </c>
      <c r="B251" s="3" t="s">
        <v>924</v>
      </c>
      <c r="C251" s="4">
        <v>1</v>
      </c>
      <c r="D251" s="4" t="s">
        <v>925</v>
      </c>
      <c r="E251" s="3" t="s">
        <v>926</v>
      </c>
      <c r="F251" s="3" t="s">
        <v>40</v>
      </c>
      <c r="G251" s="3" t="s">
        <v>40</v>
      </c>
      <c r="H251" s="3" t="s">
        <v>1375</v>
      </c>
      <c r="I251" s="4" t="s">
        <v>21</v>
      </c>
      <c r="J251" s="7">
        <v>13045</v>
      </c>
      <c r="K251" s="8">
        <v>16734</v>
      </c>
      <c r="L251" s="8">
        <v>4574</v>
      </c>
      <c r="M251" s="8">
        <v>1520</v>
      </c>
      <c r="N251" s="11">
        <v>0</v>
      </c>
      <c r="O251" s="12"/>
      <c r="P251" s="2" t="s">
        <v>1358</v>
      </c>
      <c r="Q251" s="52">
        <v>772</v>
      </c>
      <c r="R251" s="53" t="s">
        <v>1362</v>
      </c>
      <c r="S251" s="54">
        <v>54</v>
      </c>
      <c r="T251" s="53" t="s">
        <v>1363</v>
      </c>
      <c r="U251" s="54">
        <v>31</v>
      </c>
    </row>
    <row r="252" spans="1:21" ht="54.75" hidden="1" customHeight="1" x14ac:dyDescent="0.25">
      <c r="A252" s="2" t="s">
        <v>927</v>
      </c>
      <c r="B252" s="3" t="s">
        <v>928</v>
      </c>
      <c r="C252" s="4">
        <v>5</v>
      </c>
      <c r="D252" s="4" t="s">
        <v>929</v>
      </c>
      <c r="E252" s="3" t="s">
        <v>930</v>
      </c>
      <c r="F252" s="3" t="s">
        <v>11</v>
      </c>
      <c r="G252" s="3" t="s">
        <v>11</v>
      </c>
      <c r="H252" s="3" t="s">
        <v>1381</v>
      </c>
      <c r="I252" s="4" t="s">
        <v>21</v>
      </c>
      <c r="J252" s="7">
        <v>13000</v>
      </c>
      <c r="K252" s="8">
        <v>23149</v>
      </c>
      <c r="L252" s="8">
        <v>6649</v>
      </c>
      <c r="M252" s="8">
        <v>825</v>
      </c>
      <c r="N252" s="11">
        <v>0</v>
      </c>
      <c r="O252" s="12"/>
      <c r="P252" s="2" t="s">
        <v>1360</v>
      </c>
      <c r="Q252" s="52">
        <v>763</v>
      </c>
      <c r="R252" s="53" t="s">
        <v>1362</v>
      </c>
      <c r="S252" s="54">
        <v>54</v>
      </c>
      <c r="T252" s="53" t="s">
        <v>1363</v>
      </c>
      <c r="U252" s="54">
        <v>31</v>
      </c>
    </row>
    <row r="253" spans="1:21" ht="54.75" hidden="1" customHeight="1" x14ac:dyDescent="0.25">
      <c r="A253" s="2" t="s">
        <v>931</v>
      </c>
      <c r="B253" s="3" t="s">
        <v>932</v>
      </c>
      <c r="C253" s="4">
        <v>1</v>
      </c>
      <c r="D253" s="4" t="s">
        <v>933</v>
      </c>
      <c r="E253" s="3" t="s">
        <v>934</v>
      </c>
      <c r="F253" s="3" t="s">
        <v>16</v>
      </c>
      <c r="G253" s="3" t="s">
        <v>16</v>
      </c>
      <c r="H253" s="3" t="s">
        <v>1375</v>
      </c>
      <c r="I253" s="4" t="s">
        <v>21</v>
      </c>
      <c r="J253" s="7">
        <v>12912</v>
      </c>
      <c r="K253" s="8">
        <v>16965</v>
      </c>
      <c r="L253" s="8">
        <v>11153</v>
      </c>
      <c r="M253" s="8">
        <v>1940</v>
      </c>
      <c r="N253" s="11">
        <v>0</v>
      </c>
      <c r="O253" s="12"/>
      <c r="P253" s="2" t="s">
        <v>1360</v>
      </c>
      <c r="Q253" s="52">
        <v>763</v>
      </c>
      <c r="R253" s="53" t="s">
        <v>1362</v>
      </c>
      <c r="S253" s="54">
        <v>54</v>
      </c>
      <c r="T253" s="53" t="s">
        <v>1363</v>
      </c>
      <c r="U253" s="54">
        <v>31</v>
      </c>
    </row>
    <row r="254" spans="1:21" ht="54.75" customHeight="1" x14ac:dyDescent="0.25">
      <c r="A254" s="2" t="s">
        <v>935</v>
      </c>
      <c r="B254" s="3" t="s">
        <v>936</v>
      </c>
      <c r="C254" s="4">
        <v>1</v>
      </c>
      <c r="D254" s="4" t="s">
        <v>937</v>
      </c>
      <c r="E254" s="3" t="s">
        <v>938</v>
      </c>
      <c r="F254" s="3" t="s">
        <v>40</v>
      </c>
      <c r="G254" s="3" t="s">
        <v>41</v>
      </c>
      <c r="H254" s="3" t="s">
        <v>1375</v>
      </c>
      <c r="I254" s="4" t="s">
        <v>21</v>
      </c>
      <c r="J254" s="7">
        <v>12905</v>
      </c>
      <c r="K254" s="8">
        <v>22484</v>
      </c>
      <c r="L254" s="8">
        <v>2804</v>
      </c>
      <c r="M254" s="8">
        <v>820</v>
      </c>
      <c r="N254" s="11">
        <v>2804</v>
      </c>
      <c r="O254" s="12">
        <v>45939</v>
      </c>
      <c r="P254" t="s">
        <v>1359</v>
      </c>
      <c r="R254" s="53" t="s">
        <v>1362</v>
      </c>
      <c r="S254" s="54">
        <v>54</v>
      </c>
      <c r="T254" s="53" t="s">
        <v>1363</v>
      </c>
      <c r="U254" s="54">
        <v>31</v>
      </c>
    </row>
    <row r="255" spans="1:21" ht="54.75" hidden="1" customHeight="1" x14ac:dyDescent="0.25">
      <c r="A255" s="2" t="s">
        <v>939</v>
      </c>
      <c r="B255" s="3" t="s">
        <v>940</v>
      </c>
      <c r="C255" s="4">
        <v>2</v>
      </c>
      <c r="D255" s="4" t="s">
        <v>941</v>
      </c>
      <c r="E255" s="3" t="s">
        <v>942</v>
      </c>
      <c r="F255" s="3" t="s">
        <v>40</v>
      </c>
      <c r="G255" s="3" t="s">
        <v>40</v>
      </c>
      <c r="H255" s="3" t="s">
        <v>1375</v>
      </c>
      <c r="I255" s="4" t="s">
        <v>21</v>
      </c>
      <c r="J255" s="7">
        <v>12885</v>
      </c>
      <c r="K255" s="8">
        <v>15376</v>
      </c>
      <c r="L255" s="8">
        <v>8191</v>
      </c>
      <c r="M255" s="8">
        <v>2395</v>
      </c>
      <c r="N255" s="11">
        <v>0</v>
      </c>
      <c r="O255" s="12"/>
      <c r="P255" s="2" t="s">
        <v>1361</v>
      </c>
      <c r="Q255" s="52">
        <v>732</v>
      </c>
      <c r="R255" s="53" t="s">
        <v>1362</v>
      </c>
      <c r="S255" s="54">
        <v>54</v>
      </c>
      <c r="T255" s="53" t="s">
        <v>1363</v>
      </c>
      <c r="U255" s="54">
        <v>31</v>
      </c>
    </row>
    <row r="256" spans="1:21" ht="54.75" hidden="1" customHeight="1" x14ac:dyDescent="0.25">
      <c r="A256" s="2" t="s">
        <v>943</v>
      </c>
      <c r="B256" s="3" t="s">
        <v>944</v>
      </c>
      <c r="C256" s="4">
        <v>1</v>
      </c>
      <c r="D256" s="4" t="s">
        <v>945</v>
      </c>
      <c r="E256" s="3" t="s">
        <v>946</v>
      </c>
      <c r="F256" s="3" t="s">
        <v>29</v>
      </c>
      <c r="G256" s="3" t="s">
        <v>29</v>
      </c>
      <c r="H256" s="3" t="s">
        <v>1375</v>
      </c>
      <c r="I256" s="4" t="s">
        <v>21</v>
      </c>
      <c r="J256" s="7">
        <v>12865</v>
      </c>
      <c r="K256" s="8">
        <v>16443</v>
      </c>
      <c r="L256" s="8">
        <v>6753</v>
      </c>
      <c r="M256" s="8">
        <v>1615</v>
      </c>
      <c r="N256" s="11">
        <v>0</v>
      </c>
      <c r="O256" s="12"/>
      <c r="P256" s="2" t="s">
        <v>1361</v>
      </c>
      <c r="Q256" s="52">
        <v>732</v>
      </c>
      <c r="R256" s="53" t="s">
        <v>1362</v>
      </c>
      <c r="S256" s="54">
        <v>54</v>
      </c>
      <c r="T256" s="53" t="s">
        <v>1363</v>
      </c>
      <c r="U256" s="54">
        <v>31</v>
      </c>
    </row>
    <row r="257" spans="1:21" ht="54.75" hidden="1" customHeight="1" x14ac:dyDescent="0.25">
      <c r="A257" s="2" t="s">
        <v>947</v>
      </c>
      <c r="B257" s="3" t="s">
        <v>948</v>
      </c>
      <c r="C257" s="4">
        <v>1</v>
      </c>
      <c r="D257" s="4" t="s">
        <v>949</v>
      </c>
      <c r="E257" s="3" t="s">
        <v>950</v>
      </c>
      <c r="F257" s="3" t="s">
        <v>40</v>
      </c>
      <c r="G257" s="3" t="s">
        <v>40</v>
      </c>
      <c r="H257" s="3" t="s">
        <v>1375</v>
      </c>
      <c r="I257" s="4" t="s">
        <v>21</v>
      </c>
      <c r="J257" s="7">
        <v>12850</v>
      </c>
      <c r="K257" s="8">
        <v>18654</v>
      </c>
      <c r="L257" s="8">
        <v>3534</v>
      </c>
      <c r="M257" s="8">
        <v>1080</v>
      </c>
      <c r="N257" s="11">
        <v>0</v>
      </c>
      <c r="O257" s="12"/>
      <c r="P257" s="2" t="s">
        <v>1358</v>
      </c>
      <c r="Q257" s="52">
        <v>772</v>
      </c>
      <c r="R257" s="53" t="s">
        <v>1362</v>
      </c>
      <c r="S257" s="54">
        <v>54</v>
      </c>
      <c r="T257" s="53" t="s">
        <v>1363</v>
      </c>
      <c r="U257" s="54">
        <v>31</v>
      </c>
    </row>
    <row r="258" spans="1:21" ht="54.75" hidden="1" customHeight="1" x14ac:dyDescent="0.25">
      <c r="A258" s="2" t="s">
        <v>951</v>
      </c>
      <c r="B258" s="3" t="s">
        <v>952</v>
      </c>
      <c r="C258" s="4">
        <v>1</v>
      </c>
      <c r="D258" s="4" t="s">
        <v>953</v>
      </c>
      <c r="E258" s="3" t="s">
        <v>954</v>
      </c>
      <c r="F258" s="3" t="s">
        <v>29</v>
      </c>
      <c r="G258" s="3" t="s">
        <v>35</v>
      </c>
      <c r="H258" s="3" t="s">
        <v>1375</v>
      </c>
      <c r="I258" s="4" t="s">
        <v>21</v>
      </c>
      <c r="J258" s="7">
        <v>12830</v>
      </c>
      <c r="K258" s="8">
        <v>16384</v>
      </c>
      <c r="L258" s="8">
        <v>9889</v>
      </c>
      <c r="M258" s="8">
        <v>2165</v>
      </c>
      <c r="N258" s="11">
        <v>6000</v>
      </c>
      <c r="O258" s="12">
        <v>45960</v>
      </c>
      <c r="P258" s="2" t="s">
        <v>1360</v>
      </c>
      <c r="Q258" s="52">
        <v>763</v>
      </c>
      <c r="R258" s="53" t="s">
        <v>1362</v>
      </c>
      <c r="S258" s="54">
        <v>54</v>
      </c>
      <c r="T258" s="53" t="s">
        <v>1363</v>
      </c>
      <c r="U258" s="54">
        <v>31</v>
      </c>
    </row>
    <row r="259" spans="1:21" ht="54.75" customHeight="1" x14ac:dyDescent="0.25">
      <c r="A259" s="2" t="s">
        <v>955</v>
      </c>
      <c r="B259" s="3" t="s">
        <v>956</v>
      </c>
      <c r="C259" s="4">
        <v>1</v>
      </c>
      <c r="D259" s="4" t="s">
        <v>957</v>
      </c>
      <c r="E259" s="3" t="s">
        <v>958</v>
      </c>
      <c r="F259" s="3" t="s">
        <v>40</v>
      </c>
      <c r="G259" s="3" t="s">
        <v>40</v>
      </c>
      <c r="H259" s="3" t="s">
        <v>1375</v>
      </c>
      <c r="I259" s="4" t="s">
        <v>21</v>
      </c>
      <c r="J259" s="7">
        <v>12735</v>
      </c>
      <c r="K259" s="8">
        <v>15045</v>
      </c>
      <c r="L259" s="8">
        <v>5395</v>
      </c>
      <c r="M259" s="8">
        <v>1930</v>
      </c>
      <c r="N259" s="11">
        <v>0</v>
      </c>
      <c r="O259" s="12"/>
      <c r="P259" t="s">
        <v>1359</v>
      </c>
      <c r="R259" s="53" t="s">
        <v>1362</v>
      </c>
      <c r="S259" s="54">
        <v>54</v>
      </c>
      <c r="T259" s="53" t="s">
        <v>1363</v>
      </c>
      <c r="U259" s="54">
        <v>31</v>
      </c>
    </row>
    <row r="260" spans="1:21" ht="54.75" hidden="1" customHeight="1" x14ac:dyDescent="0.25">
      <c r="A260" s="2" t="s">
        <v>959</v>
      </c>
      <c r="B260" s="3" t="s">
        <v>960</v>
      </c>
      <c r="C260" s="4">
        <v>1</v>
      </c>
      <c r="D260" s="4" t="s">
        <v>961</v>
      </c>
      <c r="E260" s="3" t="s">
        <v>962</v>
      </c>
      <c r="F260" s="3" t="s">
        <v>11</v>
      </c>
      <c r="G260" s="3" t="s">
        <v>11</v>
      </c>
      <c r="H260" s="3" t="s">
        <v>1381</v>
      </c>
      <c r="I260" s="4" t="s">
        <v>21</v>
      </c>
      <c r="J260" s="7">
        <v>12730</v>
      </c>
      <c r="K260" s="8">
        <v>23068</v>
      </c>
      <c r="L260" s="8">
        <v>7393</v>
      </c>
      <c r="M260" s="8">
        <v>825</v>
      </c>
      <c r="N260" s="11">
        <v>0</v>
      </c>
      <c r="O260" s="12"/>
      <c r="P260" s="2" t="s">
        <v>1361</v>
      </c>
      <c r="Q260" s="52">
        <v>732</v>
      </c>
      <c r="R260" s="53" t="s">
        <v>1362</v>
      </c>
      <c r="S260" s="54">
        <v>54</v>
      </c>
      <c r="T260" s="53" t="s">
        <v>1363</v>
      </c>
      <c r="U260" s="54">
        <v>31</v>
      </c>
    </row>
    <row r="261" spans="1:21" ht="54.75" hidden="1" customHeight="1" x14ac:dyDescent="0.25">
      <c r="A261" s="2" t="s">
        <v>963</v>
      </c>
      <c r="B261" s="3" t="s">
        <v>823</v>
      </c>
      <c r="C261" s="4">
        <v>2</v>
      </c>
      <c r="D261" s="4" t="s">
        <v>824</v>
      </c>
      <c r="E261" s="3" t="s">
        <v>825</v>
      </c>
      <c r="F261" s="3" t="s">
        <v>16</v>
      </c>
      <c r="G261" s="3" t="s">
        <v>16</v>
      </c>
      <c r="H261" s="3" t="s">
        <v>1375</v>
      </c>
      <c r="I261" s="4" t="s">
        <v>21</v>
      </c>
      <c r="J261" s="7">
        <v>12275</v>
      </c>
      <c r="K261" s="8">
        <v>15625</v>
      </c>
      <c r="L261" s="8">
        <v>10075</v>
      </c>
      <c r="M261" s="8">
        <v>1850</v>
      </c>
      <c r="N261" s="11">
        <v>859</v>
      </c>
      <c r="O261" s="12">
        <v>45958</v>
      </c>
      <c r="P261" s="2" t="s">
        <v>1358</v>
      </c>
      <c r="Q261" s="52">
        <v>772</v>
      </c>
      <c r="R261" s="53" t="s">
        <v>1362</v>
      </c>
      <c r="S261" s="54">
        <v>54</v>
      </c>
      <c r="T261" s="53" t="s">
        <v>1363</v>
      </c>
      <c r="U261" s="54">
        <v>31</v>
      </c>
    </row>
    <row r="262" spans="1:21" ht="54.75" hidden="1" customHeight="1" x14ac:dyDescent="0.25">
      <c r="A262" s="2" t="s">
        <v>964</v>
      </c>
      <c r="B262" s="3" t="s">
        <v>965</v>
      </c>
      <c r="C262" s="4">
        <v>1</v>
      </c>
      <c r="D262" s="4" t="s">
        <v>966</v>
      </c>
      <c r="E262" s="3" t="s">
        <v>967</v>
      </c>
      <c r="F262" s="3" t="s">
        <v>29</v>
      </c>
      <c r="G262" s="3" t="s">
        <v>41</v>
      </c>
      <c r="H262" s="3" t="s">
        <v>1375</v>
      </c>
      <c r="I262" s="4" t="s">
        <v>21</v>
      </c>
      <c r="J262" s="7">
        <v>12155</v>
      </c>
      <c r="K262" s="8">
        <v>20211</v>
      </c>
      <c r="L262" s="8">
        <v>3711</v>
      </c>
      <c r="M262" s="8">
        <v>825</v>
      </c>
      <c r="N262" s="11">
        <v>3711</v>
      </c>
      <c r="O262" s="12">
        <v>45958</v>
      </c>
      <c r="P262" s="2" t="s">
        <v>1358</v>
      </c>
      <c r="Q262" s="52">
        <v>772</v>
      </c>
      <c r="R262" s="53" t="s">
        <v>1362</v>
      </c>
      <c r="S262" s="54">
        <v>54</v>
      </c>
      <c r="T262" s="53" t="s">
        <v>1363</v>
      </c>
      <c r="U262" s="54">
        <v>31</v>
      </c>
    </row>
    <row r="263" spans="1:21" ht="54.75" hidden="1" customHeight="1" x14ac:dyDescent="0.25">
      <c r="A263" s="2" t="s">
        <v>968</v>
      </c>
      <c r="B263" s="3" t="s">
        <v>969</v>
      </c>
      <c r="C263" s="4">
        <v>1</v>
      </c>
      <c r="D263" s="4" t="s">
        <v>970</v>
      </c>
      <c r="E263" s="3" t="s">
        <v>971</v>
      </c>
      <c r="F263" s="3" t="s">
        <v>29</v>
      </c>
      <c r="G263" s="3" t="s">
        <v>40</v>
      </c>
      <c r="H263" s="3" t="s">
        <v>1375</v>
      </c>
      <c r="I263" s="4" t="s">
        <v>21</v>
      </c>
      <c r="J263" s="7">
        <v>12140</v>
      </c>
      <c r="K263" s="8">
        <v>16570</v>
      </c>
      <c r="L263" s="8">
        <v>4350</v>
      </c>
      <c r="M263" s="8">
        <v>940</v>
      </c>
      <c r="N263" s="11">
        <v>2000</v>
      </c>
      <c r="O263" s="12">
        <v>45953</v>
      </c>
      <c r="P263" s="2" t="s">
        <v>1360</v>
      </c>
      <c r="Q263" s="52">
        <v>763</v>
      </c>
      <c r="R263" s="53" t="s">
        <v>1362</v>
      </c>
      <c r="S263" s="54">
        <v>54</v>
      </c>
      <c r="T263" s="53" t="s">
        <v>1363</v>
      </c>
      <c r="U263" s="54">
        <v>31</v>
      </c>
    </row>
    <row r="264" spans="1:21" ht="54.75" customHeight="1" x14ac:dyDescent="0.25">
      <c r="A264" s="2" t="s">
        <v>972</v>
      </c>
      <c r="B264" s="3" t="s">
        <v>973</v>
      </c>
      <c r="C264" s="4">
        <v>1</v>
      </c>
      <c r="D264" s="4" t="s">
        <v>974</v>
      </c>
      <c r="E264" s="3" t="s">
        <v>975</v>
      </c>
      <c r="F264" s="3" t="s">
        <v>43</v>
      </c>
      <c r="G264" s="3" t="s">
        <v>43</v>
      </c>
      <c r="H264" s="3" t="s">
        <v>1375</v>
      </c>
      <c r="I264" s="4" t="s">
        <v>21</v>
      </c>
      <c r="J264" s="7">
        <v>11860</v>
      </c>
      <c r="K264" s="8">
        <v>17580</v>
      </c>
      <c r="L264" s="8">
        <v>9075</v>
      </c>
      <c r="M264" s="8">
        <v>1215</v>
      </c>
      <c r="N264" s="11">
        <v>0</v>
      </c>
      <c r="O264" s="12"/>
      <c r="P264" t="s">
        <v>1359</v>
      </c>
      <c r="R264" s="53" t="s">
        <v>1362</v>
      </c>
      <c r="S264" s="54">
        <v>54</v>
      </c>
      <c r="T264" s="53" t="s">
        <v>1363</v>
      </c>
      <c r="U264" s="54">
        <v>31</v>
      </c>
    </row>
    <row r="265" spans="1:21" ht="54.75" hidden="1" customHeight="1" x14ac:dyDescent="0.25">
      <c r="A265" s="2" t="s">
        <v>976</v>
      </c>
      <c r="B265" s="3" t="s">
        <v>977</v>
      </c>
      <c r="C265" s="4">
        <v>1</v>
      </c>
      <c r="D265" s="4" t="s">
        <v>978</v>
      </c>
      <c r="E265" s="3" t="s">
        <v>979</v>
      </c>
      <c r="F265" s="3" t="s">
        <v>40</v>
      </c>
      <c r="G265" s="3" t="s">
        <v>35</v>
      </c>
      <c r="H265" s="3" t="s">
        <v>1375</v>
      </c>
      <c r="I265" s="4" t="s">
        <v>21</v>
      </c>
      <c r="J265" s="7">
        <v>11706</v>
      </c>
      <c r="K265" s="8">
        <v>15168</v>
      </c>
      <c r="L265" s="8">
        <v>3063</v>
      </c>
      <c r="M265" s="8">
        <v>1345</v>
      </c>
      <c r="N265" s="11">
        <v>1591</v>
      </c>
      <c r="O265" s="12">
        <v>45959</v>
      </c>
      <c r="P265" s="2" t="s">
        <v>1361</v>
      </c>
      <c r="Q265" s="52">
        <v>732</v>
      </c>
      <c r="R265" s="53" t="s">
        <v>1362</v>
      </c>
      <c r="S265" s="54">
        <v>54</v>
      </c>
      <c r="T265" s="53" t="s">
        <v>1363</v>
      </c>
      <c r="U265" s="54">
        <v>31</v>
      </c>
    </row>
    <row r="266" spans="1:21" ht="54.75" hidden="1" customHeight="1" x14ac:dyDescent="0.25">
      <c r="A266" s="2" t="s">
        <v>980</v>
      </c>
      <c r="B266" s="3" t="s">
        <v>981</v>
      </c>
      <c r="C266" s="4">
        <v>1</v>
      </c>
      <c r="D266" s="4" t="s">
        <v>982</v>
      </c>
      <c r="E266" s="3" t="s">
        <v>983</v>
      </c>
      <c r="F266" s="3" t="s">
        <v>40</v>
      </c>
      <c r="G266" s="3" t="s">
        <v>41</v>
      </c>
      <c r="H266" s="3" t="s">
        <v>1375</v>
      </c>
      <c r="I266" s="4" t="s">
        <v>21</v>
      </c>
      <c r="J266" s="7">
        <v>11578</v>
      </c>
      <c r="K266" s="8">
        <v>14545</v>
      </c>
      <c r="L266" s="8">
        <v>3785</v>
      </c>
      <c r="M266" s="8">
        <v>1345</v>
      </c>
      <c r="N266" s="11">
        <v>3785</v>
      </c>
      <c r="O266" s="12">
        <v>45953</v>
      </c>
      <c r="P266" s="2" t="s">
        <v>1358</v>
      </c>
      <c r="Q266" s="52">
        <v>772</v>
      </c>
      <c r="R266" s="53" t="s">
        <v>1362</v>
      </c>
      <c r="S266" s="54">
        <v>54</v>
      </c>
      <c r="T266" s="53" t="s">
        <v>1363</v>
      </c>
      <c r="U266" s="54">
        <v>31</v>
      </c>
    </row>
    <row r="267" spans="1:21" ht="54.75" hidden="1" customHeight="1" x14ac:dyDescent="0.25">
      <c r="A267" s="2" t="s">
        <v>984</v>
      </c>
      <c r="B267" s="3" t="s">
        <v>985</v>
      </c>
      <c r="C267" s="4">
        <v>3</v>
      </c>
      <c r="D267" s="4" t="s">
        <v>986</v>
      </c>
      <c r="E267" s="3" t="s">
        <v>987</v>
      </c>
      <c r="F267" s="3" t="s">
        <v>16</v>
      </c>
      <c r="G267" s="3" t="s">
        <v>16</v>
      </c>
      <c r="H267" s="3" t="s">
        <v>1375</v>
      </c>
      <c r="I267" s="4" t="s">
        <v>21</v>
      </c>
      <c r="J267" s="7">
        <v>11533</v>
      </c>
      <c r="K267" s="8">
        <v>20543</v>
      </c>
      <c r="L267" s="8">
        <v>3383</v>
      </c>
      <c r="M267" s="8">
        <v>715</v>
      </c>
      <c r="N267" s="11">
        <v>0</v>
      </c>
      <c r="O267" s="12"/>
      <c r="P267" s="2" t="s">
        <v>1360</v>
      </c>
      <c r="Q267" s="52">
        <v>763</v>
      </c>
      <c r="R267" s="53" t="s">
        <v>1362</v>
      </c>
      <c r="S267" s="54">
        <v>54</v>
      </c>
      <c r="T267" s="53" t="s">
        <v>1363</v>
      </c>
      <c r="U267" s="54">
        <v>31</v>
      </c>
    </row>
    <row r="268" spans="1:21" ht="54.75" hidden="1" customHeight="1" x14ac:dyDescent="0.25">
      <c r="A268" s="2" t="s">
        <v>988</v>
      </c>
      <c r="B268" s="3" t="s">
        <v>989</v>
      </c>
      <c r="C268" s="4">
        <v>1</v>
      </c>
      <c r="D268" s="4" t="s">
        <v>990</v>
      </c>
      <c r="E268" s="3" t="s">
        <v>991</v>
      </c>
      <c r="F268" s="3" t="s">
        <v>29</v>
      </c>
      <c r="G268" s="3" t="s">
        <v>29</v>
      </c>
      <c r="H268" s="3" t="s">
        <v>1375</v>
      </c>
      <c r="I268" s="4" t="s">
        <v>21</v>
      </c>
      <c r="J268" s="7">
        <v>11385</v>
      </c>
      <c r="K268" s="8">
        <v>13471</v>
      </c>
      <c r="L268" s="8">
        <v>6421</v>
      </c>
      <c r="M268" s="8">
        <v>1410</v>
      </c>
      <c r="N268" s="11">
        <v>0</v>
      </c>
      <c r="O268" s="12"/>
      <c r="P268" s="2" t="s">
        <v>1360</v>
      </c>
      <c r="Q268" s="52">
        <v>763</v>
      </c>
      <c r="R268" s="53" t="s">
        <v>1362</v>
      </c>
      <c r="S268" s="54">
        <v>54</v>
      </c>
      <c r="T268" s="53" t="s">
        <v>1363</v>
      </c>
      <c r="U268" s="54">
        <v>31</v>
      </c>
    </row>
    <row r="269" spans="1:21" ht="54.75" customHeight="1" x14ac:dyDescent="0.25">
      <c r="A269" s="2" t="s">
        <v>992</v>
      </c>
      <c r="B269" s="3" t="s">
        <v>733</v>
      </c>
      <c r="C269" s="4">
        <v>3</v>
      </c>
      <c r="D269" s="4" t="s">
        <v>734</v>
      </c>
      <c r="E269" s="3" t="s">
        <v>735</v>
      </c>
      <c r="F269" s="3" t="s">
        <v>40</v>
      </c>
      <c r="G269" s="3" t="s">
        <v>35</v>
      </c>
      <c r="H269" s="3" t="s">
        <v>1375</v>
      </c>
      <c r="I269" s="4" t="s">
        <v>21</v>
      </c>
      <c r="J269" s="7">
        <v>11268</v>
      </c>
      <c r="K269" s="8">
        <v>13418</v>
      </c>
      <c r="L269" s="8">
        <v>7148</v>
      </c>
      <c r="M269" s="8">
        <v>2090</v>
      </c>
      <c r="N269" s="11">
        <v>2529</v>
      </c>
      <c r="O269" s="12">
        <v>45941</v>
      </c>
      <c r="P269" t="s">
        <v>1359</v>
      </c>
      <c r="R269" s="53" t="s">
        <v>1362</v>
      </c>
      <c r="S269" s="54">
        <v>54</v>
      </c>
      <c r="T269" s="53" t="s">
        <v>1363</v>
      </c>
      <c r="U269" s="54">
        <v>31</v>
      </c>
    </row>
    <row r="270" spans="1:21" ht="54.75" hidden="1" customHeight="1" x14ac:dyDescent="0.25">
      <c r="A270" s="2" t="s">
        <v>993</v>
      </c>
      <c r="B270" s="3" t="s">
        <v>461</v>
      </c>
      <c r="C270" s="4">
        <v>6</v>
      </c>
      <c r="D270" s="4" t="s">
        <v>462</v>
      </c>
      <c r="E270" s="3" t="s">
        <v>463</v>
      </c>
      <c r="F270" s="3" t="s">
        <v>35</v>
      </c>
      <c r="G270" s="3" t="s">
        <v>139</v>
      </c>
      <c r="H270" s="3" t="s">
        <v>1375</v>
      </c>
      <c r="I270" s="4" t="s">
        <v>21</v>
      </c>
      <c r="J270" s="7">
        <v>10985</v>
      </c>
      <c r="K270" s="8">
        <v>17756</v>
      </c>
      <c r="L270" s="8">
        <v>1691</v>
      </c>
      <c r="M270" s="8">
        <v>765</v>
      </c>
      <c r="N270" s="11">
        <v>872</v>
      </c>
      <c r="O270" s="12">
        <v>45941</v>
      </c>
      <c r="P270" s="2" t="s">
        <v>1361</v>
      </c>
      <c r="Q270" s="52">
        <v>732</v>
      </c>
      <c r="R270" s="53" t="s">
        <v>1362</v>
      </c>
      <c r="S270" s="54">
        <v>54</v>
      </c>
      <c r="T270" s="53" t="s">
        <v>1363</v>
      </c>
      <c r="U270" s="54">
        <v>31</v>
      </c>
    </row>
    <row r="271" spans="1:21" ht="54.75" hidden="1" customHeight="1" x14ac:dyDescent="0.25">
      <c r="A271" s="2" t="s">
        <v>994</v>
      </c>
      <c r="B271" s="3" t="s">
        <v>61</v>
      </c>
      <c r="C271" s="4">
        <v>2</v>
      </c>
      <c r="D271" s="4" t="s">
        <v>62</v>
      </c>
      <c r="E271" s="3" t="s">
        <v>63</v>
      </c>
      <c r="F271" s="3" t="s">
        <v>35</v>
      </c>
      <c r="G271" s="3" t="s">
        <v>35</v>
      </c>
      <c r="H271" s="3" t="s">
        <v>1375</v>
      </c>
      <c r="I271" s="4" t="s">
        <v>21</v>
      </c>
      <c r="J271" s="7">
        <v>10980</v>
      </c>
      <c r="K271" s="8">
        <v>19687</v>
      </c>
      <c r="L271" s="8">
        <v>1491</v>
      </c>
      <c r="M271" s="8">
        <v>675</v>
      </c>
      <c r="N271" s="11">
        <v>0</v>
      </c>
      <c r="O271" s="12"/>
      <c r="P271" s="2" t="s">
        <v>1361</v>
      </c>
      <c r="Q271" s="52">
        <v>732</v>
      </c>
      <c r="R271" s="53" t="s">
        <v>1362</v>
      </c>
      <c r="S271" s="54">
        <v>54</v>
      </c>
      <c r="T271" s="53" t="s">
        <v>1363</v>
      </c>
      <c r="U271" s="54">
        <v>31</v>
      </c>
    </row>
    <row r="272" spans="1:21" ht="54.75" customHeight="1" x14ac:dyDescent="0.25">
      <c r="A272" s="2" t="s">
        <v>995</v>
      </c>
      <c r="B272" s="3" t="s">
        <v>996</v>
      </c>
      <c r="C272" s="4">
        <v>1</v>
      </c>
      <c r="D272" s="4" t="s">
        <v>997</v>
      </c>
      <c r="E272" s="3" t="s">
        <v>998</v>
      </c>
      <c r="F272" s="3" t="s">
        <v>11</v>
      </c>
      <c r="G272" s="3" t="s">
        <v>11</v>
      </c>
      <c r="H272" s="3" t="s">
        <v>1381</v>
      </c>
      <c r="I272" s="4" t="s">
        <v>21</v>
      </c>
      <c r="J272" s="7">
        <v>10965</v>
      </c>
      <c r="K272" s="8">
        <v>16571</v>
      </c>
      <c r="L272" s="8">
        <v>8451</v>
      </c>
      <c r="M272" s="8">
        <v>1015</v>
      </c>
      <c r="N272" s="11">
        <v>0</v>
      </c>
      <c r="O272" s="12"/>
      <c r="P272" t="s">
        <v>1359</v>
      </c>
      <c r="R272" s="53" t="s">
        <v>1362</v>
      </c>
      <c r="S272" s="54">
        <v>54</v>
      </c>
      <c r="T272" s="53" t="s">
        <v>1363</v>
      </c>
      <c r="U272" s="54">
        <v>31</v>
      </c>
    </row>
    <row r="273" spans="1:21" ht="54.75" hidden="1" customHeight="1" x14ac:dyDescent="0.25">
      <c r="A273" s="2" t="s">
        <v>999</v>
      </c>
      <c r="B273" s="3" t="s">
        <v>1000</v>
      </c>
      <c r="C273" s="4">
        <v>1</v>
      </c>
      <c r="D273" s="4" t="s">
        <v>1001</v>
      </c>
      <c r="E273" s="3" t="s">
        <v>1002</v>
      </c>
      <c r="F273" s="3" t="s">
        <v>11</v>
      </c>
      <c r="G273" s="3" t="s">
        <v>11</v>
      </c>
      <c r="H273" s="3" t="s">
        <v>1381</v>
      </c>
      <c r="I273" s="4" t="s">
        <v>21</v>
      </c>
      <c r="J273" s="7">
        <v>10795</v>
      </c>
      <c r="K273" s="8">
        <v>16186</v>
      </c>
      <c r="L273" s="8">
        <v>14561</v>
      </c>
      <c r="M273" s="8">
        <v>1625</v>
      </c>
      <c r="N273" s="11">
        <v>0</v>
      </c>
      <c r="O273" s="12"/>
      <c r="P273" s="2" t="s">
        <v>1361</v>
      </c>
      <c r="Q273" s="52">
        <v>732</v>
      </c>
      <c r="R273" s="53" t="s">
        <v>1362</v>
      </c>
      <c r="S273" s="54">
        <v>54</v>
      </c>
      <c r="T273" s="53" t="s">
        <v>1363</v>
      </c>
      <c r="U273" s="54">
        <v>31</v>
      </c>
    </row>
    <row r="274" spans="1:21" ht="54.75" hidden="1" customHeight="1" x14ac:dyDescent="0.25">
      <c r="A274" s="2" t="s">
        <v>1003</v>
      </c>
      <c r="B274" s="3" t="s">
        <v>1004</v>
      </c>
      <c r="C274" s="4">
        <v>1</v>
      </c>
      <c r="D274" s="4" t="s">
        <v>1005</v>
      </c>
      <c r="E274" s="3" t="s">
        <v>1006</v>
      </c>
      <c r="F274" s="3" t="s">
        <v>29</v>
      </c>
      <c r="G274" s="3" t="s">
        <v>35</v>
      </c>
      <c r="H274" s="3" t="s">
        <v>1375</v>
      </c>
      <c r="I274" s="4" t="s">
        <v>21</v>
      </c>
      <c r="J274" s="7">
        <v>10705</v>
      </c>
      <c r="K274" s="8">
        <v>14810</v>
      </c>
      <c r="L274" s="8">
        <v>3810</v>
      </c>
      <c r="M274" s="8">
        <v>1000</v>
      </c>
      <c r="N274" s="11">
        <v>2000</v>
      </c>
      <c r="O274" s="12">
        <v>45950</v>
      </c>
      <c r="P274" s="2" t="s">
        <v>1358</v>
      </c>
      <c r="Q274" s="52">
        <v>772</v>
      </c>
      <c r="R274" s="53" t="s">
        <v>1362</v>
      </c>
      <c r="S274" s="54">
        <v>54</v>
      </c>
      <c r="T274" s="53" t="s">
        <v>1363</v>
      </c>
      <c r="U274" s="54">
        <v>31</v>
      </c>
    </row>
    <row r="275" spans="1:21" ht="54.75" hidden="1" customHeight="1" x14ac:dyDescent="0.25">
      <c r="A275" s="2" t="s">
        <v>1007</v>
      </c>
      <c r="B275" s="3" t="s">
        <v>906</v>
      </c>
      <c r="C275" s="4">
        <v>3</v>
      </c>
      <c r="D275" s="4" t="s">
        <v>907</v>
      </c>
      <c r="E275" s="3" t="s">
        <v>908</v>
      </c>
      <c r="F275" s="3" t="s">
        <v>16</v>
      </c>
      <c r="G275" s="3" t="s">
        <v>16</v>
      </c>
      <c r="H275" s="3" t="s">
        <v>1375</v>
      </c>
      <c r="I275" s="4" t="s">
        <v>21</v>
      </c>
      <c r="J275" s="7">
        <v>10649</v>
      </c>
      <c r="K275" s="8">
        <v>19485</v>
      </c>
      <c r="L275" s="8">
        <v>3105</v>
      </c>
      <c r="M275" s="8">
        <v>630</v>
      </c>
      <c r="N275" s="11">
        <v>0</v>
      </c>
      <c r="O275" s="12"/>
      <c r="P275" s="2" t="s">
        <v>1360</v>
      </c>
      <c r="Q275" s="52">
        <v>763</v>
      </c>
      <c r="R275" s="53" t="s">
        <v>1362</v>
      </c>
      <c r="S275" s="54">
        <v>54</v>
      </c>
      <c r="T275" s="53" t="s">
        <v>1363</v>
      </c>
      <c r="U275" s="54">
        <v>31</v>
      </c>
    </row>
    <row r="276" spans="1:21" ht="54.75" hidden="1" customHeight="1" x14ac:dyDescent="0.25">
      <c r="A276" s="2" t="s">
        <v>1008</v>
      </c>
      <c r="B276" s="3" t="s">
        <v>1009</v>
      </c>
      <c r="C276" s="4">
        <v>1</v>
      </c>
      <c r="D276" s="4" t="s">
        <v>1010</v>
      </c>
      <c r="E276" s="3" t="s">
        <v>1011</v>
      </c>
      <c r="F276" s="3" t="s">
        <v>29</v>
      </c>
      <c r="G276" s="3" t="s">
        <v>40</v>
      </c>
      <c r="H276" s="3" t="s">
        <v>1375</v>
      </c>
      <c r="I276" s="4" t="s">
        <v>21</v>
      </c>
      <c r="J276" s="7">
        <v>10441</v>
      </c>
      <c r="K276" s="8">
        <v>14657</v>
      </c>
      <c r="L276" s="8">
        <v>3492</v>
      </c>
      <c r="M276" s="8">
        <v>1015</v>
      </c>
      <c r="N276" s="11">
        <v>21</v>
      </c>
      <c r="O276" s="12">
        <v>45951</v>
      </c>
      <c r="P276" s="2" t="s">
        <v>1360</v>
      </c>
      <c r="Q276" s="52">
        <v>763</v>
      </c>
      <c r="R276" s="53" t="s">
        <v>1362</v>
      </c>
      <c r="S276" s="54">
        <v>54</v>
      </c>
      <c r="T276" s="53" t="s">
        <v>1363</v>
      </c>
      <c r="U276" s="54">
        <v>31</v>
      </c>
    </row>
    <row r="277" spans="1:21" ht="54.75" hidden="1" customHeight="1" x14ac:dyDescent="0.25">
      <c r="A277" s="2" t="s">
        <v>1012</v>
      </c>
      <c r="B277" s="3" t="s">
        <v>650</v>
      </c>
      <c r="C277" s="4">
        <v>5</v>
      </c>
      <c r="D277" s="4" t="s">
        <v>651</v>
      </c>
      <c r="E277" s="3" t="s">
        <v>652</v>
      </c>
      <c r="F277" s="3" t="s">
        <v>29</v>
      </c>
      <c r="G277" s="3" t="s">
        <v>29</v>
      </c>
      <c r="H277" s="3" t="s">
        <v>1375</v>
      </c>
      <c r="I277" s="4" t="s">
        <v>21</v>
      </c>
      <c r="J277" s="7">
        <v>10410</v>
      </c>
      <c r="K277" s="8">
        <v>14215</v>
      </c>
      <c r="L277" s="8">
        <v>5710</v>
      </c>
      <c r="M277" s="8">
        <v>1215</v>
      </c>
      <c r="N277" s="11">
        <v>0</v>
      </c>
      <c r="O277" s="12"/>
      <c r="P277" s="2" t="s">
        <v>1360</v>
      </c>
      <c r="Q277" s="52">
        <v>763</v>
      </c>
      <c r="R277" s="53" t="s">
        <v>1362</v>
      </c>
      <c r="S277" s="54">
        <v>54</v>
      </c>
      <c r="T277" s="53" t="s">
        <v>1363</v>
      </c>
      <c r="U277" s="54">
        <v>31</v>
      </c>
    </row>
    <row r="278" spans="1:21" ht="54.75" hidden="1" customHeight="1" x14ac:dyDescent="0.25">
      <c r="A278" s="2" t="s">
        <v>1013</v>
      </c>
      <c r="B278" s="3" t="s">
        <v>928</v>
      </c>
      <c r="C278" s="4">
        <v>5</v>
      </c>
      <c r="D278" s="4" t="s">
        <v>929</v>
      </c>
      <c r="E278" s="3" t="s">
        <v>930</v>
      </c>
      <c r="F278" s="3" t="s">
        <v>11</v>
      </c>
      <c r="G278" s="3" t="s">
        <v>11</v>
      </c>
      <c r="H278" s="3" t="s">
        <v>1381</v>
      </c>
      <c r="I278" s="4" t="s">
        <v>21</v>
      </c>
      <c r="J278" s="7">
        <v>10410</v>
      </c>
      <c r="K278" s="8">
        <v>16685</v>
      </c>
      <c r="L278" s="8">
        <v>7885</v>
      </c>
      <c r="M278" s="8">
        <v>880</v>
      </c>
      <c r="N278" s="11">
        <v>0</v>
      </c>
      <c r="O278" s="12"/>
      <c r="P278" s="2" t="s">
        <v>1360</v>
      </c>
      <c r="Q278" s="52">
        <v>763</v>
      </c>
      <c r="R278" s="53" t="s">
        <v>1362</v>
      </c>
      <c r="S278" s="54">
        <v>54</v>
      </c>
      <c r="T278" s="53" t="s">
        <v>1363</v>
      </c>
      <c r="U278" s="54">
        <v>31</v>
      </c>
    </row>
    <row r="279" spans="1:21" ht="54.75" customHeight="1" x14ac:dyDescent="0.25">
      <c r="A279" s="2" t="s">
        <v>1014</v>
      </c>
      <c r="B279" s="3" t="s">
        <v>845</v>
      </c>
      <c r="C279" s="4">
        <v>5</v>
      </c>
      <c r="D279" s="4" t="s">
        <v>846</v>
      </c>
      <c r="E279" s="3" t="s">
        <v>847</v>
      </c>
      <c r="F279" s="3" t="s">
        <v>43</v>
      </c>
      <c r="G279" s="3" t="s">
        <v>43</v>
      </c>
      <c r="H279" s="3" t="s">
        <v>1375</v>
      </c>
      <c r="I279" s="4" t="s">
        <v>21</v>
      </c>
      <c r="J279" s="7">
        <v>10378</v>
      </c>
      <c r="K279" s="8">
        <v>19508</v>
      </c>
      <c r="L279" s="8">
        <v>3778</v>
      </c>
      <c r="M279" s="8">
        <v>605</v>
      </c>
      <c r="N279" s="11">
        <v>0</v>
      </c>
      <c r="O279" s="12"/>
      <c r="P279" t="s">
        <v>1359</v>
      </c>
      <c r="R279" s="53" t="s">
        <v>1362</v>
      </c>
      <c r="S279" s="54">
        <v>54</v>
      </c>
      <c r="T279" s="53" t="s">
        <v>1363</v>
      </c>
      <c r="U279" s="54">
        <v>31</v>
      </c>
    </row>
    <row r="280" spans="1:21" ht="54.75" customHeight="1" x14ac:dyDescent="0.25">
      <c r="A280" s="2" t="s">
        <v>1015</v>
      </c>
      <c r="B280" s="3" t="s">
        <v>1016</v>
      </c>
      <c r="C280" s="4">
        <v>1</v>
      </c>
      <c r="D280" s="4" t="s">
        <v>1017</v>
      </c>
      <c r="E280" s="3" t="s">
        <v>1018</v>
      </c>
      <c r="F280" s="3" t="s">
        <v>40</v>
      </c>
      <c r="G280" s="3" t="s">
        <v>40</v>
      </c>
      <c r="H280" s="3" t="s">
        <v>1375</v>
      </c>
      <c r="I280" s="4" t="s">
        <v>21</v>
      </c>
      <c r="J280" s="7">
        <v>9975</v>
      </c>
      <c r="K280" s="8">
        <v>12740</v>
      </c>
      <c r="L280" s="8">
        <v>3020</v>
      </c>
      <c r="M280" s="8">
        <v>1215</v>
      </c>
      <c r="N280" s="11">
        <v>0</v>
      </c>
      <c r="O280" s="12"/>
      <c r="P280" t="s">
        <v>1359</v>
      </c>
      <c r="R280" s="53" t="s">
        <v>1362</v>
      </c>
      <c r="S280" s="54">
        <v>54</v>
      </c>
      <c r="T280" s="53" t="s">
        <v>1363</v>
      </c>
      <c r="U280" s="54">
        <v>31</v>
      </c>
    </row>
    <row r="281" spans="1:21" ht="54.75" hidden="1" customHeight="1" x14ac:dyDescent="0.25">
      <c r="A281" s="2" t="s">
        <v>1019</v>
      </c>
      <c r="B281" s="3" t="s">
        <v>461</v>
      </c>
      <c r="C281" s="4">
        <v>6</v>
      </c>
      <c r="D281" s="4" t="s">
        <v>462</v>
      </c>
      <c r="E281" s="3" t="s">
        <v>463</v>
      </c>
      <c r="F281" s="3" t="s">
        <v>40</v>
      </c>
      <c r="G281" s="3" t="s">
        <v>139</v>
      </c>
      <c r="H281" s="3" t="s">
        <v>1375</v>
      </c>
      <c r="I281" s="4" t="s">
        <v>21</v>
      </c>
      <c r="J281" s="7">
        <v>9760</v>
      </c>
      <c r="K281" s="8">
        <v>16117</v>
      </c>
      <c r="L281" s="8">
        <v>2257</v>
      </c>
      <c r="M281" s="8">
        <v>660</v>
      </c>
      <c r="N281" s="11">
        <v>1551</v>
      </c>
      <c r="O281" s="12">
        <v>45941</v>
      </c>
      <c r="P281" s="2" t="s">
        <v>1361</v>
      </c>
      <c r="Q281" s="52">
        <v>732</v>
      </c>
      <c r="R281" s="53" t="s">
        <v>1362</v>
      </c>
      <c r="S281" s="54">
        <v>54</v>
      </c>
      <c r="T281" s="53" t="s">
        <v>1363</v>
      </c>
      <c r="U281" s="54">
        <v>31</v>
      </c>
    </row>
    <row r="282" spans="1:21" ht="54.75" hidden="1" customHeight="1" x14ac:dyDescent="0.25">
      <c r="A282" s="2" t="s">
        <v>1020</v>
      </c>
      <c r="B282" s="3" t="s">
        <v>1021</v>
      </c>
      <c r="C282" s="4">
        <v>2</v>
      </c>
      <c r="D282" s="4" t="s">
        <v>1022</v>
      </c>
      <c r="E282" s="3" t="s">
        <v>1023</v>
      </c>
      <c r="F282" s="3" t="s">
        <v>16</v>
      </c>
      <c r="G282" s="3" t="s">
        <v>16</v>
      </c>
      <c r="H282" s="3" t="s">
        <v>1375</v>
      </c>
      <c r="I282" s="4" t="s">
        <v>21</v>
      </c>
      <c r="J282" s="7">
        <v>9551</v>
      </c>
      <c r="K282" s="8">
        <v>13065</v>
      </c>
      <c r="L282" s="8">
        <v>7865</v>
      </c>
      <c r="M282" s="8">
        <v>1300</v>
      </c>
      <c r="N282" s="11">
        <v>0</v>
      </c>
      <c r="O282" s="12"/>
      <c r="P282" s="2" t="s">
        <v>1360</v>
      </c>
      <c r="Q282" s="52">
        <v>763</v>
      </c>
      <c r="R282" s="53" t="s">
        <v>1362</v>
      </c>
      <c r="S282" s="54">
        <v>54</v>
      </c>
      <c r="T282" s="53" t="s">
        <v>1363</v>
      </c>
      <c r="U282" s="54">
        <v>31</v>
      </c>
    </row>
    <row r="283" spans="1:21" ht="54.75" customHeight="1" x14ac:dyDescent="0.25">
      <c r="A283" s="2" t="s">
        <v>1024</v>
      </c>
      <c r="B283" s="3" t="s">
        <v>477</v>
      </c>
      <c r="C283" s="4">
        <v>2</v>
      </c>
      <c r="D283" s="4" t="s">
        <v>478</v>
      </c>
      <c r="E283" s="3" t="s">
        <v>479</v>
      </c>
      <c r="F283" s="3" t="s">
        <v>16</v>
      </c>
      <c r="G283" s="3" t="s">
        <v>16</v>
      </c>
      <c r="H283" s="3" t="s">
        <v>1375</v>
      </c>
      <c r="I283" s="4" t="s">
        <v>21</v>
      </c>
      <c r="J283" s="7">
        <v>9525</v>
      </c>
      <c r="K283" s="8">
        <v>13099</v>
      </c>
      <c r="L283" s="8">
        <v>13099</v>
      </c>
      <c r="M283" s="8">
        <v>2165</v>
      </c>
      <c r="N283" s="11">
        <v>0</v>
      </c>
      <c r="O283" s="12"/>
      <c r="P283" t="s">
        <v>1359</v>
      </c>
      <c r="R283" s="53" t="s">
        <v>1362</v>
      </c>
      <c r="S283" s="54">
        <v>54</v>
      </c>
      <c r="T283" s="53" t="s">
        <v>1363</v>
      </c>
      <c r="U283" s="54">
        <v>31</v>
      </c>
    </row>
    <row r="284" spans="1:21" ht="54.75" hidden="1" customHeight="1" x14ac:dyDescent="0.25">
      <c r="A284" s="2" t="s">
        <v>1025</v>
      </c>
      <c r="B284" s="3" t="s">
        <v>1026</v>
      </c>
      <c r="C284" s="4">
        <v>3</v>
      </c>
      <c r="D284" s="4" t="s">
        <v>1027</v>
      </c>
      <c r="E284" s="3" t="s">
        <v>1028</v>
      </c>
      <c r="F284" s="3" t="s">
        <v>35</v>
      </c>
      <c r="G284" s="3" t="s">
        <v>139</v>
      </c>
      <c r="H284" s="3" t="s">
        <v>1375</v>
      </c>
      <c r="I284" s="4" t="s">
        <v>21</v>
      </c>
      <c r="J284" s="7">
        <v>9359</v>
      </c>
      <c r="K284" s="8">
        <v>12681</v>
      </c>
      <c r="L284" s="8">
        <v>2121</v>
      </c>
      <c r="M284" s="8">
        <v>960</v>
      </c>
      <c r="N284" s="11">
        <v>1094</v>
      </c>
      <c r="O284" s="12">
        <v>45941</v>
      </c>
      <c r="P284" s="2" t="s">
        <v>1358</v>
      </c>
      <c r="Q284" s="52">
        <v>772</v>
      </c>
      <c r="R284" s="53" t="s">
        <v>1362</v>
      </c>
      <c r="S284" s="54">
        <v>54</v>
      </c>
      <c r="T284" s="53" t="s">
        <v>1363</v>
      </c>
      <c r="U284" s="54">
        <v>31</v>
      </c>
    </row>
    <row r="285" spans="1:21" ht="54.75" hidden="1" customHeight="1" x14ac:dyDescent="0.25">
      <c r="A285" s="2" t="s">
        <v>1029</v>
      </c>
      <c r="B285" s="3" t="s">
        <v>1030</v>
      </c>
      <c r="C285" s="4">
        <v>2</v>
      </c>
      <c r="D285" s="4" t="s">
        <v>1031</v>
      </c>
      <c r="E285" s="3" t="s">
        <v>1032</v>
      </c>
      <c r="F285" s="3" t="s">
        <v>11</v>
      </c>
      <c r="G285" s="3" t="s">
        <v>11</v>
      </c>
      <c r="H285" s="3" t="s">
        <v>1381</v>
      </c>
      <c r="I285" s="4" t="s">
        <v>21</v>
      </c>
      <c r="J285" s="7">
        <v>9195</v>
      </c>
      <c r="K285" s="8">
        <v>13613</v>
      </c>
      <c r="L285" s="8">
        <v>7348</v>
      </c>
      <c r="M285" s="8">
        <v>895</v>
      </c>
      <c r="N285" s="11">
        <v>0</v>
      </c>
      <c r="O285" s="12"/>
      <c r="P285" s="2" t="s">
        <v>1360</v>
      </c>
      <c r="Q285" s="52">
        <v>763</v>
      </c>
      <c r="R285" s="53" t="s">
        <v>1362</v>
      </c>
      <c r="S285" s="54">
        <v>54</v>
      </c>
      <c r="T285" s="53" t="s">
        <v>1363</v>
      </c>
      <c r="U285" s="54">
        <v>31</v>
      </c>
    </row>
    <row r="286" spans="1:21" ht="54.75" hidden="1" customHeight="1" x14ac:dyDescent="0.25">
      <c r="A286" s="2" t="s">
        <v>1033</v>
      </c>
      <c r="B286" s="3" t="s">
        <v>1034</v>
      </c>
      <c r="C286" s="4">
        <v>1</v>
      </c>
      <c r="D286" s="4" t="s">
        <v>1035</v>
      </c>
      <c r="E286" s="3" t="s">
        <v>1036</v>
      </c>
      <c r="F286" s="3" t="s">
        <v>16</v>
      </c>
      <c r="G286" s="3" t="s">
        <v>16</v>
      </c>
      <c r="H286" s="3" t="s">
        <v>1375</v>
      </c>
      <c r="I286" s="4" t="s">
        <v>21</v>
      </c>
      <c r="J286" s="7">
        <v>9165</v>
      </c>
      <c r="K286" s="8">
        <v>17233</v>
      </c>
      <c r="L286" s="8">
        <v>3358</v>
      </c>
      <c r="M286" s="8">
        <v>555</v>
      </c>
      <c r="N286" s="11">
        <v>0</v>
      </c>
      <c r="O286" s="12"/>
      <c r="P286" s="2" t="s">
        <v>1361</v>
      </c>
      <c r="Q286" s="52">
        <v>732</v>
      </c>
      <c r="R286" s="53" t="s">
        <v>1362</v>
      </c>
      <c r="S286" s="54">
        <v>54</v>
      </c>
      <c r="T286" s="53" t="s">
        <v>1363</v>
      </c>
      <c r="U286" s="54">
        <v>31</v>
      </c>
    </row>
    <row r="287" spans="1:21" ht="54.75" hidden="1" customHeight="1" x14ac:dyDescent="0.25">
      <c r="A287" s="2" t="s">
        <v>1037</v>
      </c>
      <c r="B287" s="3" t="s">
        <v>1026</v>
      </c>
      <c r="C287" s="4">
        <v>3</v>
      </c>
      <c r="D287" s="4" t="s">
        <v>1027</v>
      </c>
      <c r="E287" s="3" t="s">
        <v>1028</v>
      </c>
      <c r="F287" s="3" t="s">
        <v>40</v>
      </c>
      <c r="G287" s="3" t="s">
        <v>35</v>
      </c>
      <c r="H287" s="3" t="s">
        <v>1375</v>
      </c>
      <c r="I287" s="4" t="s">
        <v>21</v>
      </c>
      <c r="J287" s="7">
        <v>9155</v>
      </c>
      <c r="K287" s="8">
        <v>11427</v>
      </c>
      <c r="L287" s="8">
        <v>5267</v>
      </c>
      <c r="M287" s="8">
        <v>1540</v>
      </c>
      <c r="N287" s="11">
        <v>2745</v>
      </c>
      <c r="O287" s="12">
        <v>45941</v>
      </c>
      <c r="P287" s="2" t="s">
        <v>1358</v>
      </c>
      <c r="Q287" s="52">
        <v>772</v>
      </c>
      <c r="R287" s="53" t="s">
        <v>1362</v>
      </c>
      <c r="S287" s="54">
        <v>54</v>
      </c>
      <c r="T287" s="53" t="s">
        <v>1363</v>
      </c>
      <c r="U287" s="54">
        <v>31</v>
      </c>
    </row>
    <row r="288" spans="1:21" ht="54.75" hidden="1" customHeight="1" x14ac:dyDescent="0.25">
      <c r="A288" s="2" t="s">
        <v>1038</v>
      </c>
      <c r="B288" s="3" t="s">
        <v>1039</v>
      </c>
      <c r="C288" s="4">
        <v>1</v>
      </c>
      <c r="D288" s="4" t="s">
        <v>1040</v>
      </c>
      <c r="E288" s="3" t="s">
        <v>1041</v>
      </c>
      <c r="F288" s="3" t="s">
        <v>29</v>
      </c>
      <c r="G288" s="3" t="s">
        <v>29</v>
      </c>
      <c r="H288" s="3" t="s">
        <v>1375</v>
      </c>
      <c r="I288" s="4" t="s">
        <v>21</v>
      </c>
      <c r="J288" s="7">
        <v>9050</v>
      </c>
      <c r="K288" s="8">
        <v>12558</v>
      </c>
      <c r="L288" s="8">
        <v>3328</v>
      </c>
      <c r="M288" s="8">
        <v>710</v>
      </c>
      <c r="N288" s="11">
        <v>0</v>
      </c>
      <c r="O288" s="12"/>
      <c r="P288" s="2" t="s">
        <v>1358</v>
      </c>
      <c r="Q288" s="52">
        <v>772</v>
      </c>
      <c r="R288" s="53" t="s">
        <v>1362</v>
      </c>
      <c r="S288" s="54">
        <v>54</v>
      </c>
      <c r="T288" s="53" t="s">
        <v>1363</v>
      </c>
      <c r="U288" s="54">
        <v>31</v>
      </c>
    </row>
    <row r="289" spans="1:21" ht="54.75" hidden="1" customHeight="1" x14ac:dyDescent="0.25">
      <c r="A289" s="2" t="s">
        <v>1042</v>
      </c>
      <c r="B289" s="3" t="s">
        <v>1043</v>
      </c>
      <c r="C289" s="4">
        <v>3</v>
      </c>
      <c r="D289" s="4" t="s">
        <v>1044</v>
      </c>
      <c r="E289" s="3" t="s">
        <v>1045</v>
      </c>
      <c r="F289" s="3" t="s">
        <v>29</v>
      </c>
      <c r="G289" s="3" t="s">
        <v>40</v>
      </c>
      <c r="H289" s="3" t="s">
        <v>1375</v>
      </c>
      <c r="I289" s="4" t="s">
        <v>21</v>
      </c>
      <c r="J289" s="7">
        <v>8970</v>
      </c>
      <c r="K289" s="8">
        <v>10952</v>
      </c>
      <c r="L289" s="8">
        <v>6392</v>
      </c>
      <c r="M289" s="8">
        <v>1520</v>
      </c>
      <c r="N289" s="11">
        <v>1194</v>
      </c>
      <c r="O289" s="12">
        <v>45937</v>
      </c>
      <c r="P289" s="2" t="s">
        <v>1358</v>
      </c>
      <c r="Q289" s="52">
        <v>772</v>
      </c>
      <c r="R289" s="53" t="s">
        <v>1362</v>
      </c>
      <c r="S289" s="54">
        <v>54</v>
      </c>
      <c r="T289" s="53" t="s">
        <v>1363</v>
      </c>
      <c r="U289" s="54">
        <v>31</v>
      </c>
    </row>
    <row r="290" spans="1:21" ht="54.75" hidden="1" customHeight="1" x14ac:dyDescent="0.25">
      <c r="A290" s="2" t="s">
        <v>1046</v>
      </c>
      <c r="B290" s="3" t="s">
        <v>1047</v>
      </c>
      <c r="C290" s="4">
        <v>2</v>
      </c>
      <c r="D290" s="4" t="s">
        <v>1048</v>
      </c>
      <c r="E290" s="3" t="s">
        <v>1049</v>
      </c>
      <c r="F290" s="3" t="s">
        <v>29</v>
      </c>
      <c r="G290" s="3" t="s">
        <v>29</v>
      </c>
      <c r="H290" s="3" t="s">
        <v>1375</v>
      </c>
      <c r="I290" s="4" t="s">
        <v>21</v>
      </c>
      <c r="J290" s="7">
        <v>8957</v>
      </c>
      <c r="K290" s="8">
        <v>13114</v>
      </c>
      <c r="L290" s="8">
        <v>2684</v>
      </c>
      <c r="M290" s="8">
        <v>745</v>
      </c>
      <c r="N290" s="11">
        <v>0</v>
      </c>
      <c r="O290" s="12"/>
      <c r="P290" s="2" t="s">
        <v>1360</v>
      </c>
      <c r="Q290" s="52">
        <v>763</v>
      </c>
      <c r="R290" s="53" t="s">
        <v>1362</v>
      </c>
      <c r="S290" s="54">
        <v>54</v>
      </c>
      <c r="T290" s="53" t="s">
        <v>1363</v>
      </c>
      <c r="U290" s="54">
        <v>31</v>
      </c>
    </row>
    <row r="291" spans="1:21" ht="54.75" hidden="1" customHeight="1" x14ac:dyDescent="0.25">
      <c r="A291" s="2" t="s">
        <v>1050</v>
      </c>
      <c r="B291" s="3" t="s">
        <v>1051</v>
      </c>
      <c r="C291" s="4">
        <v>1</v>
      </c>
      <c r="D291" s="4" t="s">
        <v>1052</v>
      </c>
      <c r="E291" s="3" t="s">
        <v>1053</v>
      </c>
      <c r="F291" s="3" t="s">
        <v>43</v>
      </c>
      <c r="G291" s="3" t="s">
        <v>43</v>
      </c>
      <c r="H291" s="3" t="s">
        <v>1375</v>
      </c>
      <c r="I291" s="4" t="s">
        <v>21</v>
      </c>
      <c r="J291" s="7">
        <v>8900</v>
      </c>
      <c r="K291" s="8">
        <v>10475</v>
      </c>
      <c r="L291" s="8">
        <v>10475</v>
      </c>
      <c r="M291" s="8">
        <v>1500</v>
      </c>
      <c r="N291" s="11">
        <v>0</v>
      </c>
      <c r="O291" s="12"/>
      <c r="P291" s="2" t="s">
        <v>1360</v>
      </c>
      <c r="Q291" s="52">
        <v>763</v>
      </c>
      <c r="R291" s="53" t="s">
        <v>1362</v>
      </c>
      <c r="S291" s="54">
        <v>54</v>
      </c>
      <c r="T291" s="53" t="s">
        <v>1363</v>
      </c>
      <c r="U291" s="54">
        <v>31</v>
      </c>
    </row>
    <row r="292" spans="1:21" ht="54.75" hidden="1" customHeight="1" x14ac:dyDescent="0.25">
      <c r="A292" s="2" t="s">
        <v>1054</v>
      </c>
      <c r="B292" s="3" t="s">
        <v>1055</v>
      </c>
      <c r="C292" s="4">
        <v>2</v>
      </c>
      <c r="D292" s="4" t="s">
        <v>1056</v>
      </c>
      <c r="E292" s="3" t="s">
        <v>1057</v>
      </c>
      <c r="F292" s="3" t="s">
        <v>11</v>
      </c>
      <c r="G292" s="3" t="s">
        <v>11</v>
      </c>
      <c r="H292" s="3" t="s">
        <v>1381</v>
      </c>
      <c r="I292" s="4" t="s">
        <v>21</v>
      </c>
      <c r="J292" s="7">
        <v>8769</v>
      </c>
      <c r="K292" s="8">
        <v>10530</v>
      </c>
      <c r="L292" s="8">
        <v>9360</v>
      </c>
      <c r="M292" s="8">
        <v>1170</v>
      </c>
      <c r="N292" s="11">
        <v>0</v>
      </c>
      <c r="O292" s="12"/>
      <c r="P292" s="2" t="s">
        <v>1360</v>
      </c>
      <c r="Q292" s="52">
        <v>763</v>
      </c>
      <c r="R292" s="53" t="s">
        <v>1362</v>
      </c>
      <c r="S292" s="54">
        <v>54</v>
      </c>
      <c r="T292" s="53" t="s">
        <v>1363</v>
      </c>
      <c r="U292" s="54">
        <v>31</v>
      </c>
    </row>
    <row r="293" spans="1:21" ht="54.75" hidden="1" customHeight="1" x14ac:dyDescent="0.25">
      <c r="A293" s="2" t="s">
        <v>1058</v>
      </c>
      <c r="B293" s="3" t="s">
        <v>906</v>
      </c>
      <c r="C293" s="4">
        <v>3</v>
      </c>
      <c r="D293" s="4" t="s">
        <v>907</v>
      </c>
      <c r="E293" s="3" t="s">
        <v>908</v>
      </c>
      <c r="F293" s="3" t="s">
        <v>16</v>
      </c>
      <c r="G293" s="3" t="s">
        <v>16</v>
      </c>
      <c r="H293" s="3" t="s">
        <v>1375</v>
      </c>
      <c r="I293" s="4" t="s">
        <v>21</v>
      </c>
      <c r="J293" s="7">
        <v>8640</v>
      </c>
      <c r="K293" s="8">
        <v>13634</v>
      </c>
      <c r="L293" s="8">
        <v>4114</v>
      </c>
      <c r="M293" s="8">
        <v>680</v>
      </c>
      <c r="N293" s="11">
        <v>0</v>
      </c>
      <c r="O293" s="12"/>
      <c r="P293" s="2" t="s">
        <v>1360</v>
      </c>
      <c r="Q293" s="52">
        <v>763</v>
      </c>
      <c r="R293" s="53" t="s">
        <v>1362</v>
      </c>
      <c r="S293" s="54">
        <v>54</v>
      </c>
      <c r="T293" s="53" t="s">
        <v>1363</v>
      </c>
      <c r="U293" s="54">
        <v>31</v>
      </c>
    </row>
    <row r="294" spans="1:21" ht="54.75" hidden="1" customHeight="1" x14ac:dyDescent="0.25">
      <c r="A294" s="2" t="s">
        <v>1059</v>
      </c>
      <c r="B294" s="3" t="s">
        <v>717</v>
      </c>
      <c r="C294" s="4">
        <v>2</v>
      </c>
      <c r="D294" s="4" t="s">
        <v>718</v>
      </c>
      <c r="E294" s="3" t="s">
        <v>719</v>
      </c>
      <c r="F294" s="3" t="s">
        <v>11</v>
      </c>
      <c r="G294" s="3" t="s">
        <v>11</v>
      </c>
      <c r="H294" s="3" t="s">
        <v>1381</v>
      </c>
      <c r="I294" s="4" t="s">
        <v>21</v>
      </c>
      <c r="J294" s="7">
        <v>8640</v>
      </c>
      <c r="K294" s="8">
        <v>14077</v>
      </c>
      <c r="L294" s="8">
        <v>5917</v>
      </c>
      <c r="M294" s="8">
        <v>680</v>
      </c>
      <c r="N294" s="11">
        <v>0</v>
      </c>
      <c r="O294" s="12"/>
      <c r="P294" s="2" t="s">
        <v>1361</v>
      </c>
      <c r="Q294" s="52">
        <v>732</v>
      </c>
      <c r="R294" s="53" t="s">
        <v>1362</v>
      </c>
      <c r="S294" s="54">
        <v>54</v>
      </c>
      <c r="T294" s="53" t="s">
        <v>1363</v>
      </c>
      <c r="U294" s="54">
        <v>31</v>
      </c>
    </row>
    <row r="295" spans="1:21" ht="54.75" hidden="1" customHeight="1" x14ac:dyDescent="0.25">
      <c r="A295" s="2" t="s">
        <v>1060</v>
      </c>
      <c r="B295" s="3" t="s">
        <v>1061</v>
      </c>
      <c r="C295" s="4">
        <v>2</v>
      </c>
      <c r="D295" s="4" t="s">
        <v>1062</v>
      </c>
      <c r="E295" s="3" t="s">
        <v>1063</v>
      </c>
      <c r="F295" s="3" t="s">
        <v>40</v>
      </c>
      <c r="G295" s="3" t="s">
        <v>35</v>
      </c>
      <c r="H295" s="3" t="s">
        <v>1375</v>
      </c>
      <c r="I295" s="4" t="s">
        <v>21</v>
      </c>
      <c r="J295" s="7">
        <v>8613</v>
      </c>
      <c r="K295" s="8">
        <v>11212</v>
      </c>
      <c r="L295" s="8">
        <v>1982</v>
      </c>
      <c r="M295" s="8">
        <v>710</v>
      </c>
      <c r="N295" s="11">
        <v>0</v>
      </c>
      <c r="O295" s="12"/>
      <c r="P295" s="2" t="s">
        <v>1360</v>
      </c>
      <c r="Q295" s="52">
        <v>763</v>
      </c>
      <c r="R295" s="53" t="s">
        <v>1362</v>
      </c>
      <c r="S295" s="54">
        <v>54</v>
      </c>
      <c r="T295" s="53" t="s">
        <v>1363</v>
      </c>
      <c r="U295" s="54">
        <v>31</v>
      </c>
    </row>
    <row r="296" spans="1:21" ht="54.75" customHeight="1" x14ac:dyDescent="0.25">
      <c r="A296" s="2" t="s">
        <v>1064</v>
      </c>
      <c r="B296" s="3" t="s">
        <v>773</v>
      </c>
      <c r="C296" s="4">
        <v>2</v>
      </c>
      <c r="D296" s="4" t="s">
        <v>774</v>
      </c>
      <c r="E296" s="3" t="s">
        <v>775</v>
      </c>
      <c r="F296" s="3" t="s">
        <v>29</v>
      </c>
      <c r="G296" s="3" t="s">
        <v>35</v>
      </c>
      <c r="H296" s="3" t="s">
        <v>1375</v>
      </c>
      <c r="I296" s="4" t="s">
        <v>21</v>
      </c>
      <c r="J296" s="7">
        <v>8543</v>
      </c>
      <c r="K296" s="8">
        <v>12721</v>
      </c>
      <c r="L296" s="8">
        <v>2540</v>
      </c>
      <c r="M296" s="8">
        <v>680</v>
      </c>
      <c r="N296" s="11">
        <v>1657</v>
      </c>
      <c r="O296" s="12">
        <v>45958</v>
      </c>
      <c r="P296" t="s">
        <v>1359</v>
      </c>
      <c r="R296" s="53" t="s">
        <v>1362</v>
      </c>
      <c r="S296" s="54">
        <v>54</v>
      </c>
      <c r="T296" s="53" t="s">
        <v>1363</v>
      </c>
      <c r="U296" s="54">
        <v>31</v>
      </c>
    </row>
    <row r="297" spans="1:21" ht="54.75" hidden="1" customHeight="1" x14ac:dyDescent="0.25">
      <c r="A297" s="2" t="s">
        <v>1065</v>
      </c>
      <c r="B297" s="3" t="s">
        <v>444</v>
      </c>
      <c r="C297" s="4">
        <v>3</v>
      </c>
      <c r="D297" s="4" t="s">
        <v>445</v>
      </c>
      <c r="E297" s="3" t="s">
        <v>446</v>
      </c>
      <c r="F297" s="3" t="s">
        <v>43</v>
      </c>
      <c r="G297" s="3" t="s">
        <v>41</v>
      </c>
      <c r="H297" s="3" t="s">
        <v>1375</v>
      </c>
      <c r="I297" s="4" t="s">
        <v>21</v>
      </c>
      <c r="J297" s="7">
        <v>8485</v>
      </c>
      <c r="K297" s="8">
        <v>15246</v>
      </c>
      <c r="L297" s="8">
        <v>4146</v>
      </c>
      <c r="M297" s="8">
        <v>555</v>
      </c>
      <c r="N297" s="11">
        <v>4107</v>
      </c>
      <c r="O297" s="12">
        <v>45934</v>
      </c>
      <c r="P297" s="2" t="s">
        <v>1361</v>
      </c>
      <c r="Q297" s="52">
        <v>732</v>
      </c>
      <c r="R297" s="53" t="s">
        <v>1362</v>
      </c>
      <c r="S297" s="54">
        <v>54</v>
      </c>
      <c r="T297" s="53" t="s">
        <v>1363</v>
      </c>
      <c r="U297" s="54">
        <v>31</v>
      </c>
    </row>
    <row r="298" spans="1:21" ht="54.75" customHeight="1" x14ac:dyDescent="0.25">
      <c r="A298" s="2" t="s">
        <v>1066</v>
      </c>
      <c r="B298" s="3" t="s">
        <v>1067</v>
      </c>
      <c r="C298" s="4">
        <v>1</v>
      </c>
      <c r="D298" s="4" t="s">
        <v>1068</v>
      </c>
      <c r="E298" s="3" t="s">
        <v>1069</v>
      </c>
      <c r="F298" s="3" t="s">
        <v>40</v>
      </c>
      <c r="G298" s="3" t="s">
        <v>41</v>
      </c>
      <c r="H298" s="3" t="s">
        <v>1375</v>
      </c>
      <c r="I298" s="4" t="s">
        <v>21</v>
      </c>
      <c r="J298" s="7">
        <v>8474</v>
      </c>
      <c r="K298" s="8">
        <v>10814</v>
      </c>
      <c r="L298" s="8">
        <v>1504</v>
      </c>
      <c r="M298" s="8">
        <v>665</v>
      </c>
      <c r="N298" s="11">
        <v>1504</v>
      </c>
      <c r="O298" s="12">
        <v>45951</v>
      </c>
      <c r="P298" t="s">
        <v>1359</v>
      </c>
      <c r="R298" s="53" t="s">
        <v>1362</v>
      </c>
      <c r="S298" s="54">
        <v>54</v>
      </c>
      <c r="T298" s="53" t="s">
        <v>1363</v>
      </c>
      <c r="U298" s="54">
        <v>31</v>
      </c>
    </row>
    <row r="299" spans="1:21" ht="54.75" customHeight="1" x14ac:dyDescent="0.25">
      <c r="A299" s="2" t="s">
        <v>1070</v>
      </c>
      <c r="B299" s="3" t="s">
        <v>1071</v>
      </c>
      <c r="C299" s="4">
        <v>2</v>
      </c>
      <c r="D299" s="4" t="s">
        <v>1072</v>
      </c>
      <c r="E299" s="3" t="s">
        <v>1073</v>
      </c>
      <c r="F299" s="3" t="s">
        <v>40</v>
      </c>
      <c r="G299" s="3" t="s">
        <v>40</v>
      </c>
      <c r="H299" s="3" t="s">
        <v>1375</v>
      </c>
      <c r="I299" s="4" t="s">
        <v>21</v>
      </c>
      <c r="J299" s="7">
        <v>8360</v>
      </c>
      <c r="K299" s="8">
        <v>10843</v>
      </c>
      <c r="L299" s="8">
        <v>3458</v>
      </c>
      <c r="M299" s="8">
        <v>1055</v>
      </c>
      <c r="N299" s="11">
        <v>0</v>
      </c>
      <c r="O299" s="12"/>
      <c r="P299" t="s">
        <v>1359</v>
      </c>
      <c r="R299" s="53" t="s">
        <v>1362</v>
      </c>
      <c r="S299" s="54">
        <v>54</v>
      </c>
      <c r="T299" s="53" t="s">
        <v>1363</v>
      </c>
      <c r="U299" s="54">
        <v>31</v>
      </c>
    </row>
    <row r="300" spans="1:21" ht="54.75" customHeight="1" x14ac:dyDescent="0.25">
      <c r="A300" s="2" t="s">
        <v>1074</v>
      </c>
      <c r="B300" s="3" t="s">
        <v>102</v>
      </c>
      <c r="C300" s="4">
        <v>2</v>
      </c>
      <c r="D300" s="4" t="s">
        <v>103</v>
      </c>
      <c r="E300" s="3" t="s">
        <v>104</v>
      </c>
      <c r="F300" s="3" t="s">
        <v>11</v>
      </c>
      <c r="G300" s="3" t="s">
        <v>11</v>
      </c>
      <c r="H300" s="3" t="s">
        <v>1381</v>
      </c>
      <c r="I300" s="4" t="s">
        <v>21</v>
      </c>
      <c r="J300" s="7">
        <v>8329</v>
      </c>
      <c r="K300" s="8">
        <v>13192</v>
      </c>
      <c r="L300" s="8">
        <v>5712</v>
      </c>
      <c r="M300" s="8">
        <v>680</v>
      </c>
      <c r="N300" s="11">
        <v>0</v>
      </c>
      <c r="O300" s="12"/>
      <c r="P300" t="s">
        <v>1359</v>
      </c>
      <c r="R300" s="53" t="s">
        <v>1362</v>
      </c>
      <c r="S300" s="54">
        <v>54</v>
      </c>
      <c r="T300" s="53" t="s">
        <v>1363</v>
      </c>
      <c r="U300" s="54">
        <v>31</v>
      </c>
    </row>
    <row r="301" spans="1:21" ht="54.75" hidden="1" customHeight="1" x14ac:dyDescent="0.25">
      <c r="A301" s="2" t="s">
        <v>1075</v>
      </c>
      <c r="B301" s="3" t="s">
        <v>1076</v>
      </c>
      <c r="C301" s="4">
        <v>1</v>
      </c>
      <c r="D301" s="4" t="s">
        <v>1077</v>
      </c>
      <c r="E301" s="3" t="s">
        <v>1078</v>
      </c>
      <c r="F301" s="3" t="s">
        <v>16</v>
      </c>
      <c r="G301" s="3" t="s">
        <v>16</v>
      </c>
      <c r="H301" s="3" t="s">
        <v>1375</v>
      </c>
      <c r="I301" s="4" t="s">
        <v>21</v>
      </c>
      <c r="J301" s="7">
        <v>8216</v>
      </c>
      <c r="K301" s="8">
        <v>10208</v>
      </c>
      <c r="L301" s="8">
        <v>10208</v>
      </c>
      <c r="M301" s="8">
        <v>3240</v>
      </c>
      <c r="N301" s="11">
        <v>0</v>
      </c>
      <c r="O301" s="12"/>
      <c r="P301" s="2" t="s">
        <v>1361</v>
      </c>
      <c r="Q301" s="52">
        <v>732</v>
      </c>
      <c r="R301" s="53" t="s">
        <v>1362</v>
      </c>
      <c r="S301" s="54">
        <v>54</v>
      </c>
      <c r="T301" s="53" t="s">
        <v>1363</v>
      </c>
      <c r="U301" s="54">
        <v>31</v>
      </c>
    </row>
    <row r="302" spans="1:21" ht="54.75" hidden="1" customHeight="1" x14ac:dyDescent="0.25">
      <c r="A302" s="2" t="s">
        <v>1079</v>
      </c>
      <c r="B302" s="3" t="s">
        <v>1080</v>
      </c>
      <c r="C302" s="4">
        <v>1</v>
      </c>
      <c r="D302" s="4" t="s">
        <v>1081</v>
      </c>
      <c r="E302" s="3" t="s">
        <v>1082</v>
      </c>
      <c r="F302" s="3" t="s">
        <v>11</v>
      </c>
      <c r="G302" s="3" t="s">
        <v>11</v>
      </c>
      <c r="H302" s="3" t="s">
        <v>1381</v>
      </c>
      <c r="I302" s="4" t="s">
        <v>21</v>
      </c>
      <c r="J302" s="7">
        <v>8010</v>
      </c>
      <c r="K302" s="8">
        <v>12568</v>
      </c>
      <c r="L302" s="8">
        <v>5768</v>
      </c>
      <c r="M302" s="8">
        <v>680</v>
      </c>
      <c r="N302" s="11">
        <v>0</v>
      </c>
      <c r="O302" s="12"/>
      <c r="P302" s="2" t="s">
        <v>1358</v>
      </c>
      <c r="Q302" s="52">
        <v>772</v>
      </c>
      <c r="R302" s="53" t="s">
        <v>1362</v>
      </c>
      <c r="S302" s="54">
        <v>54</v>
      </c>
      <c r="T302" s="53" t="s">
        <v>1363</v>
      </c>
      <c r="U302" s="54">
        <v>31</v>
      </c>
    </row>
    <row r="303" spans="1:21" ht="54.75" customHeight="1" x14ac:dyDescent="0.25">
      <c r="A303" s="2" t="s">
        <v>1083</v>
      </c>
      <c r="B303" s="3" t="s">
        <v>733</v>
      </c>
      <c r="C303" s="4">
        <v>3</v>
      </c>
      <c r="D303" s="4" t="s">
        <v>734</v>
      </c>
      <c r="E303" s="3" t="s">
        <v>735</v>
      </c>
      <c r="F303" s="3" t="s">
        <v>40</v>
      </c>
      <c r="G303" s="3" t="s">
        <v>35</v>
      </c>
      <c r="H303" s="3" t="s">
        <v>1375</v>
      </c>
      <c r="I303" s="4" t="s">
        <v>21</v>
      </c>
      <c r="J303" s="7">
        <v>7940</v>
      </c>
      <c r="K303" s="8">
        <v>9502</v>
      </c>
      <c r="L303" s="8">
        <v>5062</v>
      </c>
      <c r="M303" s="8">
        <v>1480</v>
      </c>
      <c r="N303" s="11">
        <v>1791</v>
      </c>
      <c r="O303" s="12">
        <v>45943</v>
      </c>
      <c r="P303" t="s">
        <v>1359</v>
      </c>
      <c r="R303" s="53" t="s">
        <v>1362</v>
      </c>
      <c r="S303" s="54">
        <v>54</v>
      </c>
      <c r="T303" s="53" t="s">
        <v>1363</v>
      </c>
      <c r="U303" s="54">
        <v>31</v>
      </c>
    </row>
    <row r="304" spans="1:21" ht="54.75" hidden="1" customHeight="1" x14ac:dyDescent="0.25">
      <c r="A304" s="2" t="s">
        <v>1084</v>
      </c>
      <c r="B304" s="3" t="s">
        <v>395</v>
      </c>
      <c r="C304" s="4">
        <v>2</v>
      </c>
      <c r="D304" s="4" t="s">
        <v>396</v>
      </c>
      <c r="E304" s="3" t="s">
        <v>397</v>
      </c>
      <c r="F304" s="3" t="s">
        <v>11</v>
      </c>
      <c r="G304" s="3" t="s">
        <v>11</v>
      </c>
      <c r="H304" s="3" t="s">
        <v>1381</v>
      </c>
      <c r="I304" s="4" t="s">
        <v>21</v>
      </c>
      <c r="J304" s="7">
        <v>7940</v>
      </c>
      <c r="K304" s="8">
        <v>12644</v>
      </c>
      <c r="L304" s="8">
        <v>6315</v>
      </c>
      <c r="M304" s="8">
        <v>705</v>
      </c>
      <c r="N304" s="11">
        <v>0</v>
      </c>
      <c r="O304" s="12"/>
      <c r="P304" s="2" t="s">
        <v>1361</v>
      </c>
      <c r="Q304" s="52">
        <v>732</v>
      </c>
      <c r="R304" s="53" t="s">
        <v>1362</v>
      </c>
      <c r="S304" s="54">
        <v>54</v>
      </c>
      <c r="T304" s="53" t="s">
        <v>1363</v>
      </c>
      <c r="U304" s="54">
        <v>31</v>
      </c>
    </row>
    <row r="305" spans="1:21" ht="54.75" customHeight="1" x14ac:dyDescent="0.25">
      <c r="A305" s="2" t="s">
        <v>1085</v>
      </c>
      <c r="B305" s="3" t="s">
        <v>1086</v>
      </c>
      <c r="C305" s="4">
        <v>2</v>
      </c>
      <c r="D305" s="4" t="s">
        <v>1087</v>
      </c>
      <c r="E305" s="3" t="s">
        <v>1088</v>
      </c>
      <c r="F305" s="3" t="s">
        <v>11</v>
      </c>
      <c r="G305" s="3" t="s">
        <v>11</v>
      </c>
      <c r="H305" s="3" t="s">
        <v>1381</v>
      </c>
      <c r="I305" s="4" t="s">
        <v>21</v>
      </c>
      <c r="J305" s="7">
        <v>7914</v>
      </c>
      <c r="K305" s="8">
        <v>11111</v>
      </c>
      <c r="L305" s="8">
        <v>11111</v>
      </c>
      <c r="M305" s="8">
        <v>1410</v>
      </c>
      <c r="N305" s="11">
        <v>0</v>
      </c>
      <c r="O305" s="12"/>
      <c r="P305" t="s">
        <v>1359</v>
      </c>
      <c r="R305" s="53" t="s">
        <v>1362</v>
      </c>
      <c r="S305" s="54">
        <v>54</v>
      </c>
      <c r="T305" s="53" t="s">
        <v>1363</v>
      </c>
      <c r="U305" s="54">
        <v>31</v>
      </c>
    </row>
    <row r="306" spans="1:21" ht="54.75" hidden="1" customHeight="1" x14ac:dyDescent="0.25">
      <c r="A306" s="2" t="s">
        <v>1089</v>
      </c>
      <c r="B306" s="3" t="s">
        <v>461</v>
      </c>
      <c r="C306" s="4">
        <v>6</v>
      </c>
      <c r="D306" s="4" t="s">
        <v>462</v>
      </c>
      <c r="E306" s="3" t="s">
        <v>463</v>
      </c>
      <c r="F306" s="3" t="s">
        <v>40</v>
      </c>
      <c r="G306" s="3" t="s">
        <v>139</v>
      </c>
      <c r="H306" s="3" t="s">
        <v>1375</v>
      </c>
      <c r="I306" s="4" t="s">
        <v>21</v>
      </c>
      <c r="J306" s="7">
        <v>7715</v>
      </c>
      <c r="K306" s="8">
        <v>12647</v>
      </c>
      <c r="L306" s="8">
        <v>1847</v>
      </c>
      <c r="M306" s="8">
        <v>540</v>
      </c>
      <c r="N306" s="11">
        <v>1269</v>
      </c>
      <c r="O306" s="12">
        <v>45941</v>
      </c>
      <c r="P306" s="2" t="s">
        <v>1361</v>
      </c>
      <c r="Q306" s="52">
        <v>732</v>
      </c>
      <c r="R306" s="53" t="s">
        <v>1362</v>
      </c>
      <c r="S306" s="54">
        <v>54</v>
      </c>
      <c r="T306" s="53" t="s">
        <v>1363</v>
      </c>
      <c r="U306" s="54">
        <v>31</v>
      </c>
    </row>
    <row r="307" spans="1:21" ht="54.75" hidden="1" customHeight="1" x14ac:dyDescent="0.25">
      <c r="A307" s="2" t="s">
        <v>1090</v>
      </c>
      <c r="B307" s="3" t="s">
        <v>1091</v>
      </c>
      <c r="C307" s="4">
        <v>3</v>
      </c>
      <c r="D307" s="4" t="s">
        <v>1092</v>
      </c>
      <c r="E307" s="3" t="s">
        <v>1093</v>
      </c>
      <c r="F307" s="3" t="s">
        <v>29</v>
      </c>
      <c r="G307" s="3" t="s">
        <v>35</v>
      </c>
      <c r="H307" s="3" t="s">
        <v>1375</v>
      </c>
      <c r="I307" s="4" t="s">
        <v>21</v>
      </c>
      <c r="J307" s="7">
        <v>7675</v>
      </c>
      <c r="K307" s="8">
        <v>11356</v>
      </c>
      <c r="L307" s="8">
        <v>3196</v>
      </c>
      <c r="M307" s="8">
        <v>680</v>
      </c>
      <c r="N307" s="11">
        <v>1693</v>
      </c>
      <c r="O307" s="12">
        <v>45960</v>
      </c>
      <c r="P307" s="2" t="s">
        <v>1361</v>
      </c>
      <c r="Q307" s="52">
        <v>732</v>
      </c>
      <c r="R307" s="53" t="s">
        <v>1362</v>
      </c>
      <c r="S307" s="54">
        <v>54</v>
      </c>
      <c r="T307" s="53" t="s">
        <v>1363</v>
      </c>
      <c r="U307" s="54">
        <v>31</v>
      </c>
    </row>
    <row r="308" spans="1:21" ht="54.75" hidden="1" customHeight="1" x14ac:dyDescent="0.25">
      <c r="A308" s="2" t="s">
        <v>1094</v>
      </c>
      <c r="B308" s="3" t="s">
        <v>1095</v>
      </c>
      <c r="C308" s="4">
        <v>1</v>
      </c>
      <c r="D308" s="4" t="s">
        <v>1096</v>
      </c>
      <c r="E308" s="3" t="s">
        <v>1097</v>
      </c>
      <c r="F308" s="3" t="s">
        <v>29</v>
      </c>
      <c r="G308" s="3" t="s">
        <v>139</v>
      </c>
      <c r="H308" s="3" t="s">
        <v>1375</v>
      </c>
      <c r="I308" s="4" t="s">
        <v>21</v>
      </c>
      <c r="J308" s="7">
        <v>7540</v>
      </c>
      <c r="K308" s="8">
        <v>8901</v>
      </c>
      <c r="L308" s="8">
        <v>7271</v>
      </c>
      <c r="M308" s="8">
        <v>1630</v>
      </c>
      <c r="N308" s="11">
        <v>4950</v>
      </c>
      <c r="O308" s="12">
        <v>45943</v>
      </c>
      <c r="P308" s="2" t="s">
        <v>1360</v>
      </c>
      <c r="Q308" s="52">
        <v>763</v>
      </c>
      <c r="R308" s="53" t="s">
        <v>1362</v>
      </c>
      <c r="S308" s="54">
        <v>54</v>
      </c>
      <c r="T308" s="53" t="s">
        <v>1363</v>
      </c>
      <c r="U308" s="54">
        <v>31</v>
      </c>
    </row>
    <row r="309" spans="1:21" ht="54.75" customHeight="1" x14ac:dyDescent="0.25">
      <c r="A309" s="2" t="s">
        <v>1098</v>
      </c>
      <c r="B309" s="3" t="s">
        <v>845</v>
      </c>
      <c r="C309" s="4">
        <v>5</v>
      </c>
      <c r="D309" s="4" t="s">
        <v>846</v>
      </c>
      <c r="E309" s="3" t="s">
        <v>847</v>
      </c>
      <c r="F309" s="3" t="s">
        <v>16</v>
      </c>
      <c r="G309" s="3" t="s">
        <v>16</v>
      </c>
      <c r="H309" s="3" t="s">
        <v>1375</v>
      </c>
      <c r="I309" s="4" t="s">
        <v>21</v>
      </c>
      <c r="J309" s="7">
        <v>7530</v>
      </c>
      <c r="K309" s="8">
        <v>10986</v>
      </c>
      <c r="L309" s="8">
        <v>4416</v>
      </c>
      <c r="M309" s="8">
        <v>730</v>
      </c>
      <c r="N309" s="11">
        <v>0</v>
      </c>
      <c r="O309" s="12"/>
      <c r="P309" t="s">
        <v>1359</v>
      </c>
      <c r="R309" s="53" t="s">
        <v>1362</v>
      </c>
      <c r="S309" s="54">
        <v>54</v>
      </c>
      <c r="T309" s="53" t="s">
        <v>1363</v>
      </c>
      <c r="U309" s="54">
        <v>31</v>
      </c>
    </row>
    <row r="310" spans="1:21" ht="54.75" customHeight="1" x14ac:dyDescent="0.25">
      <c r="A310" s="2" t="s">
        <v>1099</v>
      </c>
      <c r="B310" s="3" t="s">
        <v>1100</v>
      </c>
      <c r="C310" s="4">
        <v>3</v>
      </c>
      <c r="D310" s="4" t="s">
        <v>1101</v>
      </c>
      <c r="E310" s="3" t="s">
        <v>1102</v>
      </c>
      <c r="F310" s="3" t="s">
        <v>29</v>
      </c>
      <c r="G310" s="3" t="s">
        <v>35</v>
      </c>
      <c r="H310" s="3" t="s">
        <v>1375</v>
      </c>
      <c r="I310" s="4" t="s">
        <v>21</v>
      </c>
      <c r="J310" s="7">
        <v>7503</v>
      </c>
      <c r="K310" s="8">
        <v>9383</v>
      </c>
      <c r="L310" s="8">
        <v>4523</v>
      </c>
      <c r="M310" s="8">
        <v>1215</v>
      </c>
      <c r="N310" s="11">
        <v>1871</v>
      </c>
      <c r="O310" s="12">
        <v>45944</v>
      </c>
      <c r="P310" t="s">
        <v>1359</v>
      </c>
      <c r="R310" s="53" t="s">
        <v>1362</v>
      </c>
      <c r="S310" s="54">
        <v>54</v>
      </c>
      <c r="T310" s="53" t="s">
        <v>1363</v>
      </c>
      <c r="U310" s="54">
        <v>31</v>
      </c>
    </row>
    <row r="311" spans="1:21" ht="54.75" customHeight="1" x14ac:dyDescent="0.25">
      <c r="A311" s="2" t="s">
        <v>1103</v>
      </c>
      <c r="B311" s="3" t="s">
        <v>1104</v>
      </c>
      <c r="C311" s="4">
        <v>1</v>
      </c>
      <c r="D311" s="4" t="s">
        <v>1105</v>
      </c>
      <c r="E311" s="3" t="s">
        <v>1106</v>
      </c>
      <c r="F311" s="3" t="s">
        <v>11</v>
      </c>
      <c r="G311" s="3" t="s">
        <v>11</v>
      </c>
      <c r="H311" s="3" t="s">
        <v>1381</v>
      </c>
      <c r="I311" s="4" t="s">
        <v>21</v>
      </c>
      <c r="J311" s="7">
        <v>7448</v>
      </c>
      <c r="K311" s="8">
        <v>9199</v>
      </c>
      <c r="L311" s="8">
        <v>9199</v>
      </c>
      <c r="M311" s="8">
        <v>1250</v>
      </c>
      <c r="N311" s="11">
        <v>0</v>
      </c>
      <c r="O311" s="12"/>
      <c r="P311" t="s">
        <v>1359</v>
      </c>
      <c r="R311" s="53" t="s">
        <v>1362</v>
      </c>
      <c r="S311" s="54">
        <v>54</v>
      </c>
      <c r="T311" s="53" t="s">
        <v>1363</v>
      </c>
      <c r="U311" s="54">
        <v>31</v>
      </c>
    </row>
    <row r="312" spans="1:21" ht="54.75" customHeight="1" x14ac:dyDescent="0.25">
      <c r="A312" s="2" t="s">
        <v>1107</v>
      </c>
      <c r="B312" s="3" t="s">
        <v>705</v>
      </c>
      <c r="C312" s="4">
        <v>2</v>
      </c>
      <c r="D312" s="4" t="s">
        <v>706</v>
      </c>
      <c r="E312" s="3" t="s">
        <v>707</v>
      </c>
      <c r="F312" s="3" t="s">
        <v>43</v>
      </c>
      <c r="G312" s="3" t="s">
        <v>43</v>
      </c>
      <c r="H312" s="3" t="s">
        <v>1375</v>
      </c>
      <c r="I312" s="4" t="s">
        <v>21</v>
      </c>
      <c r="J312" s="7">
        <v>7430</v>
      </c>
      <c r="K312" s="8">
        <v>10977</v>
      </c>
      <c r="L312" s="8">
        <v>6087</v>
      </c>
      <c r="M312" s="8">
        <v>815</v>
      </c>
      <c r="N312" s="11">
        <v>0</v>
      </c>
      <c r="O312" s="12"/>
      <c r="P312" t="s">
        <v>1359</v>
      </c>
      <c r="R312" s="53" t="s">
        <v>1362</v>
      </c>
      <c r="S312" s="54">
        <v>54</v>
      </c>
      <c r="T312" s="53" t="s">
        <v>1363</v>
      </c>
      <c r="U312" s="54">
        <v>31</v>
      </c>
    </row>
    <row r="313" spans="1:21" ht="54.75" hidden="1" customHeight="1" x14ac:dyDescent="0.25">
      <c r="A313" s="2" t="s">
        <v>1108</v>
      </c>
      <c r="B313" s="3" t="s">
        <v>584</v>
      </c>
      <c r="C313" s="4">
        <v>2</v>
      </c>
      <c r="D313" s="4" t="s">
        <v>585</v>
      </c>
      <c r="E313" s="3" t="s">
        <v>586</v>
      </c>
      <c r="F313" s="3" t="s">
        <v>29</v>
      </c>
      <c r="G313" s="3" t="s">
        <v>41</v>
      </c>
      <c r="H313" s="3" t="s">
        <v>1375</v>
      </c>
      <c r="I313" s="4" t="s">
        <v>21</v>
      </c>
      <c r="J313" s="7">
        <v>7430</v>
      </c>
      <c r="K313" s="8">
        <v>13119</v>
      </c>
      <c r="L313" s="8">
        <v>2079</v>
      </c>
      <c r="M313" s="8">
        <v>480</v>
      </c>
      <c r="N313" s="11">
        <v>2079</v>
      </c>
      <c r="O313" s="12">
        <v>45960</v>
      </c>
      <c r="P313" s="2" t="s">
        <v>1361</v>
      </c>
      <c r="Q313" s="52">
        <v>732</v>
      </c>
      <c r="R313" s="53" t="s">
        <v>1362</v>
      </c>
      <c r="S313" s="54">
        <v>54</v>
      </c>
      <c r="T313" s="53" t="s">
        <v>1363</v>
      </c>
      <c r="U313" s="54">
        <v>31</v>
      </c>
    </row>
    <row r="314" spans="1:21" ht="54.75" hidden="1" customHeight="1" x14ac:dyDescent="0.25">
      <c r="A314" s="2" t="s">
        <v>1109</v>
      </c>
      <c r="B314" s="3" t="s">
        <v>667</v>
      </c>
      <c r="C314" s="4">
        <v>3</v>
      </c>
      <c r="D314" s="4" t="s">
        <v>668</v>
      </c>
      <c r="E314" s="3" t="s">
        <v>669</v>
      </c>
      <c r="F314" s="3" t="s">
        <v>43</v>
      </c>
      <c r="G314" s="3" t="s">
        <v>16</v>
      </c>
      <c r="H314" s="3" t="s">
        <v>1375</v>
      </c>
      <c r="I314" s="4" t="s">
        <v>21</v>
      </c>
      <c r="J314" s="7">
        <v>7357</v>
      </c>
      <c r="K314" s="8">
        <v>14559</v>
      </c>
      <c r="L314" s="8">
        <v>3249</v>
      </c>
      <c r="M314" s="8">
        <v>435</v>
      </c>
      <c r="N314" s="11">
        <v>1143</v>
      </c>
      <c r="O314" s="12">
        <v>45954</v>
      </c>
      <c r="P314" s="2" t="s">
        <v>1358</v>
      </c>
      <c r="Q314" s="52">
        <v>772</v>
      </c>
      <c r="R314" s="53" t="s">
        <v>1362</v>
      </c>
      <c r="S314" s="54">
        <v>54</v>
      </c>
      <c r="T314" s="53" t="s">
        <v>1363</v>
      </c>
      <c r="U314" s="54">
        <v>31</v>
      </c>
    </row>
    <row r="315" spans="1:21" ht="54.75" customHeight="1" x14ac:dyDescent="0.25">
      <c r="A315" s="2" t="s">
        <v>1110</v>
      </c>
      <c r="B315" s="3" t="s">
        <v>1086</v>
      </c>
      <c r="C315" s="4">
        <v>2</v>
      </c>
      <c r="D315" s="4" t="s">
        <v>1087</v>
      </c>
      <c r="E315" s="3" t="s">
        <v>1088</v>
      </c>
      <c r="F315" s="3" t="s">
        <v>43</v>
      </c>
      <c r="G315" s="3" t="s">
        <v>43</v>
      </c>
      <c r="H315" s="3" t="s">
        <v>1375</v>
      </c>
      <c r="I315" s="4" t="s">
        <v>21</v>
      </c>
      <c r="J315" s="7">
        <v>7337</v>
      </c>
      <c r="K315" s="8">
        <v>10533</v>
      </c>
      <c r="L315" s="8">
        <v>10533</v>
      </c>
      <c r="M315" s="8">
        <v>1410</v>
      </c>
      <c r="N315" s="11">
        <v>0</v>
      </c>
      <c r="O315" s="12"/>
      <c r="P315" t="s">
        <v>1359</v>
      </c>
      <c r="R315" s="53" t="s">
        <v>1362</v>
      </c>
      <c r="S315" s="54">
        <v>54</v>
      </c>
      <c r="T315" s="53" t="s">
        <v>1363</v>
      </c>
      <c r="U315" s="54">
        <v>31</v>
      </c>
    </row>
    <row r="316" spans="1:21" ht="54.75" hidden="1" customHeight="1" x14ac:dyDescent="0.25">
      <c r="A316" s="2" t="s">
        <v>1111</v>
      </c>
      <c r="B316" s="3" t="s">
        <v>1112</v>
      </c>
      <c r="C316" s="4">
        <v>1</v>
      </c>
      <c r="D316" s="4" t="s">
        <v>1113</v>
      </c>
      <c r="E316" s="3" t="s">
        <v>1114</v>
      </c>
      <c r="F316" s="3" t="s">
        <v>40</v>
      </c>
      <c r="G316" s="3" t="s">
        <v>40</v>
      </c>
      <c r="H316" s="3" t="s">
        <v>1375</v>
      </c>
      <c r="I316" s="4" t="s">
        <v>21</v>
      </c>
      <c r="J316" s="7">
        <v>7314</v>
      </c>
      <c r="K316" s="8">
        <v>8986</v>
      </c>
      <c r="L316" s="8">
        <v>2506</v>
      </c>
      <c r="M316" s="8">
        <v>1080</v>
      </c>
      <c r="N316" s="11">
        <v>0</v>
      </c>
      <c r="O316" s="12"/>
      <c r="P316" s="2" t="s">
        <v>1361</v>
      </c>
      <c r="Q316" s="52">
        <v>732</v>
      </c>
      <c r="R316" s="53" t="s">
        <v>1362</v>
      </c>
      <c r="S316" s="54">
        <v>54</v>
      </c>
      <c r="T316" s="53" t="s">
        <v>1363</v>
      </c>
      <c r="U316" s="54">
        <v>31</v>
      </c>
    </row>
    <row r="317" spans="1:21" ht="54.75" hidden="1" customHeight="1" x14ac:dyDescent="0.25">
      <c r="A317" s="2" t="s">
        <v>1115</v>
      </c>
      <c r="B317" s="3" t="s">
        <v>326</v>
      </c>
      <c r="C317" s="4">
        <v>5</v>
      </c>
      <c r="D317" s="4" t="s">
        <v>327</v>
      </c>
      <c r="E317" s="3" t="s">
        <v>328</v>
      </c>
      <c r="F317" s="3" t="s">
        <v>11</v>
      </c>
      <c r="G317" s="3" t="s">
        <v>11</v>
      </c>
      <c r="H317" s="3" t="s">
        <v>1381</v>
      </c>
      <c r="I317" s="4" t="s">
        <v>21</v>
      </c>
      <c r="J317" s="7">
        <v>7252</v>
      </c>
      <c r="K317" s="8">
        <v>11495</v>
      </c>
      <c r="L317" s="8">
        <v>5735</v>
      </c>
      <c r="M317" s="8">
        <v>640</v>
      </c>
      <c r="N317" s="11">
        <v>0</v>
      </c>
      <c r="O317" s="12"/>
      <c r="P317" s="2" t="s">
        <v>1358</v>
      </c>
      <c r="Q317" s="52">
        <v>772</v>
      </c>
      <c r="R317" s="53" t="s">
        <v>1362</v>
      </c>
      <c r="S317" s="54">
        <v>54</v>
      </c>
      <c r="T317" s="53" t="s">
        <v>1363</v>
      </c>
      <c r="U317" s="54">
        <v>31</v>
      </c>
    </row>
    <row r="318" spans="1:21" ht="54.75" hidden="1" customHeight="1" x14ac:dyDescent="0.25">
      <c r="A318" s="2" t="s">
        <v>1116</v>
      </c>
      <c r="B318" s="3" t="s">
        <v>650</v>
      </c>
      <c r="C318" s="4">
        <v>5</v>
      </c>
      <c r="D318" s="4" t="s">
        <v>651</v>
      </c>
      <c r="E318" s="3" t="s">
        <v>652</v>
      </c>
      <c r="F318" s="3" t="s">
        <v>16</v>
      </c>
      <c r="G318" s="3" t="s">
        <v>16</v>
      </c>
      <c r="H318" s="3" t="s">
        <v>1375</v>
      </c>
      <c r="I318" s="4" t="s">
        <v>21</v>
      </c>
      <c r="J318" s="7">
        <v>7205</v>
      </c>
      <c r="K318" s="8">
        <v>9180</v>
      </c>
      <c r="L318" s="8">
        <v>6580</v>
      </c>
      <c r="M318" s="8">
        <v>1300</v>
      </c>
      <c r="N318" s="11">
        <v>0</v>
      </c>
      <c r="O318" s="12"/>
      <c r="P318" s="2" t="s">
        <v>1360</v>
      </c>
      <c r="Q318" s="52">
        <v>763</v>
      </c>
      <c r="R318" s="53" t="s">
        <v>1362</v>
      </c>
      <c r="S318" s="54">
        <v>54</v>
      </c>
      <c r="T318" s="53" t="s">
        <v>1363</v>
      </c>
      <c r="U318" s="54">
        <v>31</v>
      </c>
    </row>
    <row r="319" spans="1:21" ht="54.75" hidden="1" customHeight="1" x14ac:dyDescent="0.25">
      <c r="A319" s="2" t="s">
        <v>1117</v>
      </c>
      <c r="B319" s="3" t="s">
        <v>1118</v>
      </c>
      <c r="C319" s="4">
        <v>1</v>
      </c>
      <c r="D319" s="4" t="s">
        <v>1119</v>
      </c>
      <c r="E319" s="3" t="s">
        <v>1120</v>
      </c>
      <c r="F319" s="3" t="s">
        <v>29</v>
      </c>
      <c r="G319" s="3" t="s">
        <v>40</v>
      </c>
      <c r="H319" s="3" t="s">
        <v>1375</v>
      </c>
      <c r="I319" s="4" t="s">
        <v>21</v>
      </c>
      <c r="J319" s="7">
        <v>6910</v>
      </c>
      <c r="K319" s="8">
        <v>8385</v>
      </c>
      <c r="L319" s="8">
        <v>5515</v>
      </c>
      <c r="M319" s="8">
        <v>1435</v>
      </c>
      <c r="N319" s="11">
        <v>608</v>
      </c>
      <c r="O319" s="12">
        <v>45947</v>
      </c>
      <c r="P319" s="2" t="s">
        <v>1358</v>
      </c>
      <c r="Q319" s="52">
        <v>772</v>
      </c>
      <c r="R319" s="53" t="s">
        <v>1362</v>
      </c>
      <c r="S319" s="54">
        <v>54</v>
      </c>
      <c r="T319" s="53" t="s">
        <v>1363</v>
      </c>
      <c r="U319" s="54">
        <v>31</v>
      </c>
    </row>
    <row r="320" spans="1:21" ht="54.75" hidden="1" customHeight="1" x14ac:dyDescent="0.25">
      <c r="A320" s="2" t="s">
        <v>1121</v>
      </c>
      <c r="B320" s="3" t="s">
        <v>1122</v>
      </c>
      <c r="C320" s="4">
        <v>2</v>
      </c>
      <c r="D320" s="4" t="s">
        <v>1123</v>
      </c>
      <c r="E320" s="3" t="s">
        <v>1124</v>
      </c>
      <c r="F320" s="3" t="s">
        <v>43</v>
      </c>
      <c r="G320" s="3" t="s">
        <v>43</v>
      </c>
      <c r="H320" s="3" t="s">
        <v>1375</v>
      </c>
      <c r="I320" s="4" t="s">
        <v>21</v>
      </c>
      <c r="J320" s="7">
        <v>6905</v>
      </c>
      <c r="K320" s="8">
        <v>11278</v>
      </c>
      <c r="L320" s="8">
        <v>3553</v>
      </c>
      <c r="M320" s="8">
        <v>515</v>
      </c>
      <c r="N320" s="11">
        <v>0</v>
      </c>
      <c r="O320" s="12"/>
      <c r="P320" s="2" t="s">
        <v>1360</v>
      </c>
      <c r="Q320" s="52">
        <v>763</v>
      </c>
      <c r="R320" s="53" t="s">
        <v>1362</v>
      </c>
      <c r="S320" s="54">
        <v>54</v>
      </c>
      <c r="T320" s="53" t="s">
        <v>1363</v>
      </c>
      <c r="U320" s="54">
        <v>31</v>
      </c>
    </row>
    <row r="321" spans="1:21" ht="54.75" hidden="1" customHeight="1" x14ac:dyDescent="0.25">
      <c r="A321" s="2" t="s">
        <v>1125</v>
      </c>
      <c r="B321" s="3" t="s">
        <v>444</v>
      </c>
      <c r="C321" s="4">
        <v>3</v>
      </c>
      <c r="D321" s="4" t="s">
        <v>445</v>
      </c>
      <c r="E321" s="3" t="s">
        <v>446</v>
      </c>
      <c r="F321" s="3" t="s">
        <v>43</v>
      </c>
      <c r="G321" s="3" t="s">
        <v>41</v>
      </c>
      <c r="H321" s="3" t="s">
        <v>1375</v>
      </c>
      <c r="I321" s="4" t="s">
        <v>21</v>
      </c>
      <c r="J321" s="7">
        <v>6905</v>
      </c>
      <c r="K321" s="8">
        <v>11571</v>
      </c>
      <c r="L321" s="8">
        <v>3846</v>
      </c>
      <c r="M321" s="8">
        <v>515</v>
      </c>
      <c r="N321" s="11">
        <v>3810</v>
      </c>
      <c r="O321" s="12">
        <v>45934</v>
      </c>
      <c r="P321" s="2" t="s">
        <v>1361</v>
      </c>
      <c r="Q321" s="52">
        <v>732</v>
      </c>
      <c r="R321" s="53" t="s">
        <v>1362</v>
      </c>
      <c r="S321" s="54">
        <v>54</v>
      </c>
      <c r="T321" s="53" t="s">
        <v>1363</v>
      </c>
      <c r="U321" s="54">
        <v>31</v>
      </c>
    </row>
    <row r="322" spans="1:21" ht="54.75" hidden="1" customHeight="1" x14ac:dyDescent="0.25">
      <c r="A322" s="2" t="s">
        <v>1126</v>
      </c>
      <c r="B322" s="3" t="s">
        <v>650</v>
      </c>
      <c r="C322" s="4">
        <v>5</v>
      </c>
      <c r="D322" s="4" t="s">
        <v>651</v>
      </c>
      <c r="E322" s="3" t="s">
        <v>652</v>
      </c>
      <c r="F322" s="3" t="s">
        <v>29</v>
      </c>
      <c r="G322" s="3" t="s">
        <v>29</v>
      </c>
      <c r="H322" s="3" t="s">
        <v>1375</v>
      </c>
      <c r="I322" s="4" t="s">
        <v>21</v>
      </c>
      <c r="J322" s="7">
        <v>6735</v>
      </c>
      <c r="K322" s="8">
        <v>8710</v>
      </c>
      <c r="L322" s="8">
        <v>6110</v>
      </c>
      <c r="M322" s="8">
        <v>1300</v>
      </c>
      <c r="N322" s="11">
        <v>0</v>
      </c>
      <c r="O322" s="12"/>
      <c r="P322" s="2" t="s">
        <v>1360</v>
      </c>
      <c r="Q322" s="52">
        <v>763</v>
      </c>
      <c r="R322" s="53" t="s">
        <v>1362</v>
      </c>
      <c r="S322" s="54">
        <v>54</v>
      </c>
      <c r="T322" s="53" t="s">
        <v>1363</v>
      </c>
      <c r="U322" s="54">
        <v>31</v>
      </c>
    </row>
    <row r="323" spans="1:21" ht="54.75" hidden="1" customHeight="1" x14ac:dyDescent="0.25">
      <c r="A323" s="2" t="s">
        <v>1127</v>
      </c>
      <c r="B323" s="3" t="s">
        <v>1128</v>
      </c>
      <c r="C323" s="4">
        <v>1</v>
      </c>
      <c r="D323" s="4" t="s">
        <v>1129</v>
      </c>
      <c r="E323" s="3" t="s">
        <v>1130</v>
      </c>
      <c r="F323" s="3" t="s">
        <v>40</v>
      </c>
      <c r="G323" s="3" t="s">
        <v>40</v>
      </c>
      <c r="H323" s="3" t="s">
        <v>1375</v>
      </c>
      <c r="I323" s="4" t="s">
        <v>21</v>
      </c>
      <c r="J323" s="7">
        <v>6640</v>
      </c>
      <c r="K323" s="8">
        <v>7382</v>
      </c>
      <c r="L323" s="8">
        <v>5712</v>
      </c>
      <c r="M323" s="8">
        <v>1670</v>
      </c>
      <c r="N323" s="11">
        <v>0</v>
      </c>
      <c r="O323" s="12"/>
      <c r="P323" s="2" t="s">
        <v>1360</v>
      </c>
      <c r="Q323" s="52">
        <v>763</v>
      </c>
      <c r="R323" s="53" t="s">
        <v>1362</v>
      </c>
      <c r="S323" s="54">
        <v>54</v>
      </c>
      <c r="T323" s="53" t="s">
        <v>1363</v>
      </c>
      <c r="U323" s="54">
        <v>31</v>
      </c>
    </row>
    <row r="324" spans="1:21" ht="54.75" hidden="1" customHeight="1" x14ac:dyDescent="0.25">
      <c r="A324" s="2" t="s">
        <v>1131</v>
      </c>
      <c r="B324" s="3" t="s">
        <v>1132</v>
      </c>
      <c r="C324" s="4">
        <v>2</v>
      </c>
      <c r="D324" s="4" t="s">
        <v>1133</v>
      </c>
      <c r="E324" s="3" t="s">
        <v>1134</v>
      </c>
      <c r="F324" s="3" t="s">
        <v>11</v>
      </c>
      <c r="G324" s="3" t="s">
        <v>11</v>
      </c>
      <c r="H324" s="3" t="s">
        <v>1381</v>
      </c>
      <c r="I324" s="4" t="s">
        <v>21</v>
      </c>
      <c r="J324" s="7">
        <v>6575</v>
      </c>
      <c r="K324" s="8">
        <v>10429</v>
      </c>
      <c r="L324" s="8">
        <v>5509</v>
      </c>
      <c r="M324" s="8">
        <v>615</v>
      </c>
      <c r="N324" s="11">
        <v>0</v>
      </c>
      <c r="O324" s="12"/>
      <c r="P324" s="2" t="s">
        <v>1360</v>
      </c>
      <c r="Q324" s="52">
        <v>763</v>
      </c>
      <c r="R324" s="53" t="s">
        <v>1362</v>
      </c>
      <c r="S324" s="54">
        <v>54</v>
      </c>
      <c r="T324" s="53" t="s">
        <v>1363</v>
      </c>
      <c r="U324" s="54">
        <v>31</v>
      </c>
    </row>
    <row r="325" spans="1:21" ht="54.75" hidden="1" customHeight="1" x14ac:dyDescent="0.25">
      <c r="A325" s="2" t="s">
        <v>1135</v>
      </c>
      <c r="B325" s="3" t="s">
        <v>420</v>
      </c>
      <c r="C325" s="4">
        <v>3</v>
      </c>
      <c r="D325" s="4" t="s">
        <v>421</v>
      </c>
      <c r="E325" s="3" t="s">
        <v>422</v>
      </c>
      <c r="F325" s="3" t="s">
        <v>43</v>
      </c>
      <c r="G325" s="3" t="s">
        <v>43</v>
      </c>
      <c r="H325" s="3" t="s">
        <v>1375</v>
      </c>
      <c r="I325" s="4" t="s">
        <v>21</v>
      </c>
      <c r="J325" s="7">
        <v>6410</v>
      </c>
      <c r="K325" s="8">
        <v>9233</v>
      </c>
      <c r="L325" s="8">
        <v>8143</v>
      </c>
      <c r="M325" s="8">
        <v>1090</v>
      </c>
      <c r="N325" s="11">
        <v>0</v>
      </c>
      <c r="O325" s="12"/>
      <c r="P325" s="2" t="s">
        <v>1358</v>
      </c>
      <c r="Q325" s="52">
        <v>772</v>
      </c>
      <c r="R325" s="53" t="s">
        <v>1362</v>
      </c>
      <c r="S325" s="54">
        <v>54</v>
      </c>
      <c r="T325" s="53" t="s">
        <v>1363</v>
      </c>
      <c r="U325" s="54">
        <v>31</v>
      </c>
    </row>
    <row r="326" spans="1:21" ht="54.75" hidden="1" customHeight="1" x14ac:dyDescent="0.25">
      <c r="A326" s="2" t="s">
        <v>1136</v>
      </c>
      <c r="B326" s="3" t="s">
        <v>342</v>
      </c>
      <c r="C326" s="4">
        <v>3</v>
      </c>
      <c r="D326" s="4" t="s">
        <v>343</v>
      </c>
      <c r="E326" s="3" t="s">
        <v>344</v>
      </c>
      <c r="F326" s="3" t="s">
        <v>11</v>
      </c>
      <c r="G326" s="3" t="s">
        <v>11</v>
      </c>
      <c r="H326" s="3" t="s">
        <v>1381</v>
      </c>
      <c r="I326" s="4" t="s">
        <v>21</v>
      </c>
      <c r="J326" s="7">
        <v>6369</v>
      </c>
      <c r="K326" s="8">
        <v>10733</v>
      </c>
      <c r="L326" s="8">
        <v>3853</v>
      </c>
      <c r="M326" s="8">
        <v>430</v>
      </c>
      <c r="N326" s="11">
        <v>0</v>
      </c>
      <c r="O326" s="12"/>
      <c r="P326" s="2" t="s">
        <v>1361</v>
      </c>
      <c r="Q326" s="52">
        <v>732</v>
      </c>
      <c r="R326" s="53" t="s">
        <v>1362</v>
      </c>
      <c r="S326" s="54">
        <v>54</v>
      </c>
      <c r="T326" s="53" t="s">
        <v>1363</v>
      </c>
      <c r="U326" s="54">
        <v>31</v>
      </c>
    </row>
    <row r="327" spans="1:21" ht="54.75" hidden="1" customHeight="1" x14ac:dyDescent="0.25">
      <c r="A327" s="2" t="s">
        <v>1137</v>
      </c>
      <c r="B327" s="3" t="s">
        <v>667</v>
      </c>
      <c r="C327" s="4">
        <v>3</v>
      </c>
      <c r="D327" s="4" t="s">
        <v>668</v>
      </c>
      <c r="E327" s="3" t="s">
        <v>669</v>
      </c>
      <c r="F327" s="3" t="s">
        <v>43</v>
      </c>
      <c r="G327" s="3" t="s">
        <v>16</v>
      </c>
      <c r="H327" s="3" t="s">
        <v>1375</v>
      </c>
      <c r="I327" s="4" t="s">
        <v>21</v>
      </c>
      <c r="J327" s="7">
        <v>6345</v>
      </c>
      <c r="K327" s="8">
        <v>12552</v>
      </c>
      <c r="L327" s="8">
        <v>2802</v>
      </c>
      <c r="M327" s="8">
        <v>375</v>
      </c>
      <c r="N327" s="11">
        <v>533</v>
      </c>
      <c r="O327" s="12">
        <v>45954</v>
      </c>
      <c r="P327" s="2" t="s">
        <v>1358</v>
      </c>
      <c r="Q327" s="52">
        <v>772</v>
      </c>
      <c r="R327" s="53" t="s">
        <v>1362</v>
      </c>
      <c r="S327" s="54">
        <v>54</v>
      </c>
      <c r="T327" s="53" t="s">
        <v>1363</v>
      </c>
      <c r="U327" s="54">
        <v>31</v>
      </c>
    </row>
    <row r="328" spans="1:21" ht="54.75" customHeight="1" x14ac:dyDescent="0.25">
      <c r="A328" s="2" t="s">
        <v>1138</v>
      </c>
      <c r="B328" s="3" t="s">
        <v>1139</v>
      </c>
      <c r="C328" s="4">
        <v>1</v>
      </c>
      <c r="D328" s="4" t="s">
        <v>1140</v>
      </c>
      <c r="E328" s="3" t="s">
        <v>1141</v>
      </c>
      <c r="F328" s="3" t="s">
        <v>29</v>
      </c>
      <c r="G328" s="3" t="s">
        <v>29</v>
      </c>
      <c r="H328" s="3" t="s">
        <v>1375</v>
      </c>
      <c r="I328" s="4" t="s">
        <v>21</v>
      </c>
      <c r="J328" s="7">
        <v>6195</v>
      </c>
      <c r="K328" s="8">
        <v>8588.89</v>
      </c>
      <c r="L328" s="8">
        <v>3148.89</v>
      </c>
      <c r="M328" s="8">
        <v>680</v>
      </c>
      <c r="N328" s="11">
        <v>0</v>
      </c>
      <c r="O328" s="12"/>
      <c r="P328" t="s">
        <v>1359</v>
      </c>
      <c r="R328" s="53" t="s">
        <v>1362</v>
      </c>
      <c r="S328" s="54">
        <v>54</v>
      </c>
      <c r="T328" s="53" t="s">
        <v>1363</v>
      </c>
      <c r="U328" s="54">
        <v>31</v>
      </c>
    </row>
    <row r="329" spans="1:21" ht="54.75" hidden="1" customHeight="1" x14ac:dyDescent="0.25">
      <c r="A329" s="2" t="s">
        <v>1142</v>
      </c>
      <c r="B329" s="3" t="s">
        <v>1143</v>
      </c>
      <c r="C329" s="4">
        <v>1</v>
      </c>
      <c r="D329" s="4" t="s">
        <v>1144</v>
      </c>
      <c r="E329" s="3" t="s">
        <v>1145</v>
      </c>
      <c r="F329" s="3" t="s">
        <v>40</v>
      </c>
      <c r="G329" s="3" t="s">
        <v>139</v>
      </c>
      <c r="H329" s="3" t="s">
        <v>1375</v>
      </c>
      <c r="I329" s="4" t="s">
        <v>21</v>
      </c>
      <c r="J329" s="7">
        <v>6165</v>
      </c>
      <c r="K329" s="8">
        <v>6512</v>
      </c>
      <c r="L329" s="8">
        <v>4952</v>
      </c>
      <c r="M329" s="8">
        <v>1560</v>
      </c>
      <c r="N329" s="11">
        <v>1533</v>
      </c>
      <c r="O329" s="12">
        <v>45956</v>
      </c>
      <c r="P329" s="2" t="s">
        <v>1361</v>
      </c>
      <c r="Q329" s="52">
        <v>732</v>
      </c>
      <c r="R329" s="53" t="s">
        <v>1362</v>
      </c>
      <c r="S329" s="54">
        <v>54</v>
      </c>
      <c r="T329" s="53" t="s">
        <v>1363</v>
      </c>
      <c r="U329" s="54">
        <v>31</v>
      </c>
    </row>
    <row r="330" spans="1:21" ht="54.75" hidden="1" customHeight="1" x14ac:dyDescent="0.25">
      <c r="A330" s="2" t="s">
        <v>1146</v>
      </c>
      <c r="B330" s="3" t="s">
        <v>1147</v>
      </c>
      <c r="C330" s="4">
        <v>1</v>
      </c>
      <c r="D330" s="4" t="s">
        <v>1148</v>
      </c>
      <c r="E330" s="3" t="s">
        <v>1149</v>
      </c>
      <c r="F330" s="3" t="s">
        <v>16</v>
      </c>
      <c r="G330" s="3" t="s">
        <v>29</v>
      </c>
      <c r="H330" s="3" t="s">
        <v>1375</v>
      </c>
      <c r="I330" s="4" t="s">
        <v>21</v>
      </c>
      <c r="J330" s="7">
        <v>6094</v>
      </c>
      <c r="K330" s="8">
        <v>7537</v>
      </c>
      <c r="L330" s="8">
        <v>6332</v>
      </c>
      <c r="M330" s="8">
        <v>1205</v>
      </c>
      <c r="N330" s="11">
        <v>1500</v>
      </c>
      <c r="O330" s="12">
        <v>45950</v>
      </c>
      <c r="P330" s="2" t="s">
        <v>1358</v>
      </c>
      <c r="Q330" s="52">
        <v>772</v>
      </c>
      <c r="R330" s="53" t="s">
        <v>1362</v>
      </c>
      <c r="S330" s="54">
        <v>54</v>
      </c>
      <c r="T330" s="53" t="s">
        <v>1363</v>
      </c>
      <c r="U330" s="54">
        <v>31</v>
      </c>
    </row>
    <row r="331" spans="1:21" ht="54.75" hidden="1" customHeight="1" x14ac:dyDescent="0.25">
      <c r="A331" s="2" t="s">
        <v>1150</v>
      </c>
      <c r="B331" s="3" t="s">
        <v>650</v>
      </c>
      <c r="C331" s="4">
        <v>5</v>
      </c>
      <c r="D331" s="4" t="s">
        <v>651</v>
      </c>
      <c r="E331" s="3" t="s">
        <v>652</v>
      </c>
      <c r="F331" s="3" t="s">
        <v>29</v>
      </c>
      <c r="G331" s="3" t="s">
        <v>29</v>
      </c>
      <c r="H331" s="3" t="s">
        <v>1375</v>
      </c>
      <c r="I331" s="4" t="s">
        <v>21</v>
      </c>
      <c r="J331" s="7">
        <v>6049</v>
      </c>
      <c r="K331" s="8">
        <v>7557</v>
      </c>
      <c r="L331" s="8">
        <v>7557</v>
      </c>
      <c r="M331" s="8">
        <v>3035</v>
      </c>
      <c r="N331" s="11">
        <v>0</v>
      </c>
      <c r="O331" s="12"/>
      <c r="P331" s="2" t="s">
        <v>1360</v>
      </c>
      <c r="Q331" s="52">
        <v>763</v>
      </c>
      <c r="R331" s="53" t="s">
        <v>1362</v>
      </c>
      <c r="S331" s="54">
        <v>54</v>
      </c>
      <c r="T331" s="53" t="s">
        <v>1363</v>
      </c>
      <c r="U331" s="54">
        <v>31</v>
      </c>
    </row>
    <row r="332" spans="1:21" ht="54.75" hidden="1" customHeight="1" x14ac:dyDescent="0.25">
      <c r="A332" s="2" t="s">
        <v>1151</v>
      </c>
      <c r="B332" s="3" t="s">
        <v>1152</v>
      </c>
      <c r="C332" s="4">
        <v>1</v>
      </c>
      <c r="D332" s="4" t="s">
        <v>1153</v>
      </c>
      <c r="E332" s="3" t="s">
        <v>1154</v>
      </c>
      <c r="F332" s="3" t="s">
        <v>16</v>
      </c>
      <c r="G332" s="3" t="s">
        <v>16</v>
      </c>
      <c r="H332" s="3" t="s">
        <v>1375</v>
      </c>
      <c r="I332" s="4" t="s">
        <v>21</v>
      </c>
      <c r="J332" s="7">
        <v>5905</v>
      </c>
      <c r="K332" s="8">
        <v>8210</v>
      </c>
      <c r="L332" s="8">
        <v>2360</v>
      </c>
      <c r="M332" s="8">
        <v>390</v>
      </c>
      <c r="N332" s="11">
        <v>0</v>
      </c>
      <c r="O332" s="12"/>
      <c r="P332" s="2" t="s">
        <v>1360</v>
      </c>
      <c r="Q332" s="52">
        <v>763</v>
      </c>
      <c r="R332" s="53" t="s">
        <v>1362</v>
      </c>
      <c r="S332" s="54">
        <v>54</v>
      </c>
      <c r="T332" s="53" t="s">
        <v>1363</v>
      </c>
      <c r="U332" s="54">
        <v>31</v>
      </c>
    </row>
    <row r="333" spans="1:21" ht="54.75" customHeight="1" x14ac:dyDescent="0.25">
      <c r="A333" s="2" t="s">
        <v>1155</v>
      </c>
      <c r="B333" s="3" t="s">
        <v>166</v>
      </c>
      <c r="C333" s="4">
        <v>2</v>
      </c>
      <c r="D333" s="4" t="s">
        <v>167</v>
      </c>
      <c r="E333" s="3" t="s">
        <v>168</v>
      </c>
      <c r="F333" s="3" t="s">
        <v>29</v>
      </c>
      <c r="G333" s="3" t="s">
        <v>29</v>
      </c>
      <c r="H333" s="3" t="s">
        <v>1375</v>
      </c>
      <c r="I333" s="4" t="s">
        <v>21</v>
      </c>
      <c r="J333" s="7">
        <v>5890</v>
      </c>
      <c r="K333" s="8">
        <v>8357</v>
      </c>
      <c r="L333" s="8">
        <v>2867</v>
      </c>
      <c r="M333" s="8">
        <v>610</v>
      </c>
      <c r="N333" s="11">
        <v>0</v>
      </c>
      <c r="O333" s="12"/>
      <c r="P333" t="s">
        <v>1359</v>
      </c>
      <c r="R333" s="53" t="s">
        <v>1362</v>
      </c>
      <c r="S333" s="54">
        <v>54</v>
      </c>
      <c r="T333" s="53" t="s">
        <v>1363</v>
      </c>
      <c r="U333" s="54">
        <v>31</v>
      </c>
    </row>
    <row r="334" spans="1:21" ht="54.75" customHeight="1" x14ac:dyDescent="0.25">
      <c r="A334" s="2" t="s">
        <v>1156</v>
      </c>
      <c r="B334" s="3" t="s">
        <v>1157</v>
      </c>
      <c r="C334" s="4">
        <v>1</v>
      </c>
      <c r="D334" s="4" t="s">
        <v>1158</v>
      </c>
      <c r="E334" s="3" t="s">
        <v>1159</v>
      </c>
      <c r="F334" s="3" t="s">
        <v>16</v>
      </c>
      <c r="G334" s="3" t="s">
        <v>29</v>
      </c>
      <c r="H334" s="3" t="s">
        <v>1375</v>
      </c>
      <c r="I334" s="4" t="s">
        <v>21</v>
      </c>
      <c r="J334" s="7">
        <v>5885</v>
      </c>
      <c r="K334" s="8">
        <v>8067</v>
      </c>
      <c r="L334" s="8">
        <v>4807</v>
      </c>
      <c r="M334" s="8">
        <v>815</v>
      </c>
      <c r="N334" s="11">
        <v>1400</v>
      </c>
      <c r="O334" s="12">
        <v>45958</v>
      </c>
      <c r="P334" t="s">
        <v>1359</v>
      </c>
      <c r="R334" s="53" t="s">
        <v>1362</v>
      </c>
      <c r="S334" s="54">
        <v>54</v>
      </c>
      <c r="T334" s="53" t="s">
        <v>1363</v>
      </c>
      <c r="U334" s="54">
        <v>31</v>
      </c>
    </row>
    <row r="335" spans="1:21" ht="54.75" hidden="1" customHeight="1" x14ac:dyDescent="0.25">
      <c r="A335" s="2" t="s">
        <v>1160</v>
      </c>
      <c r="B335" s="3" t="s">
        <v>940</v>
      </c>
      <c r="C335" s="4">
        <v>2</v>
      </c>
      <c r="D335" s="4" t="s">
        <v>941</v>
      </c>
      <c r="E335" s="3" t="s">
        <v>942</v>
      </c>
      <c r="F335" s="3" t="s">
        <v>40</v>
      </c>
      <c r="G335" s="3" t="s">
        <v>40</v>
      </c>
      <c r="H335" s="3" t="s">
        <v>1375</v>
      </c>
      <c r="I335" s="4" t="s">
        <v>21</v>
      </c>
      <c r="J335" s="7">
        <v>5885</v>
      </c>
      <c r="K335" s="8">
        <v>7677</v>
      </c>
      <c r="L335" s="8">
        <v>2787</v>
      </c>
      <c r="M335" s="8">
        <v>815</v>
      </c>
      <c r="N335" s="11">
        <v>0</v>
      </c>
      <c r="O335" s="12"/>
      <c r="P335" s="2" t="s">
        <v>1361</v>
      </c>
      <c r="Q335" s="52">
        <v>732</v>
      </c>
      <c r="R335" s="53" t="s">
        <v>1362</v>
      </c>
      <c r="S335" s="54">
        <v>54</v>
      </c>
      <c r="T335" s="53" t="s">
        <v>1363</v>
      </c>
      <c r="U335" s="54">
        <v>31</v>
      </c>
    </row>
    <row r="336" spans="1:21" ht="54.75" hidden="1" customHeight="1" x14ac:dyDescent="0.25">
      <c r="A336" s="2" t="s">
        <v>1161</v>
      </c>
      <c r="B336" s="3" t="s">
        <v>928</v>
      </c>
      <c r="C336" s="4">
        <v>5</v>
      </c>
      <c r="D336" s="4" t="s">
        <v>929</v>
      </c>
      <c r="E336" s="3" t="s">
        <v>930</v>
      </c>
      <c r="F336" s="3" t="s">
        <v>43</v>
      </c>
      <c r="G336" s="3" t="s">
        <v>43</v>
      </c>
      <c r="H336" s="3" t="s">
        <v>1375</v>
      </c>
      <c r="I336" s="4" t="s">
        <v>21</v>
      </c>
      <c r="J336" s="7">
        <v>5885</v>
      </c>
      <c r="K336" s="8">
        <v>8532</v>
      </c>
      <c r="L336" s="8">
        <v>6087</v>
      </c>
      <c r="M336" s="8">
        <v>815</v>
      </c>
      <c r="N336" s="11">
        <v>0</v>
      </c>
      <c r="O336" s="12"/>
      <c r="P336" s="2" t="s">
        <v>1360</v>
      </c>
      <c r="Q336" s="52">
        <v>763</v>
      </c>
      <c r="R336" s="53" t="s">
        <v>1362</v>
      </c>
      <c r="S336" s="54">
        <v>54</v>
      </c>
      <c r="T336" s="53" t="s">
        <v>1363</v>
      </c>
      <c r="U336" s="54">
        <v>31</v>
      </c>
    </row>
    <row r="337" spans="1:21" ht="54.75" customHeight="1" x14ac:dyDescent="0.25">
      <c r="A337" s="2" t="s">
        <v>1162</v>
      </c>
      <c r="B337" s="3" t="s">
        <v>1163</v>
      </c>
      <c r="C337" s="4">
        <v>2</v>
      </c>
      <c r="D337" s="4" t="s">
        <v>1164</v>
      </c>
      <c r="E337" s="3" t="s">
        <v>1165</v>
      </c>
      <c r="F337" s="3" t="s">
        <v>16</v>
      </c>
      <c r="G337" s="3" t="s">
        <v>16</v>
      </c>
      <c r="H337" s="3" t="s">
        <v>1375</v>
      </c>
      <c r="I337" s="4" t="s">
        <v>21</v>
      </c>
      <c r="J337" s="7">
        <v>5810</v>
      </c>
      <c r="K337" s="8">
        <v>9367</v>
      </c>
      <c r="L337" s="8">
        <v>2692</v>
      </c>
      <c r="M337" s="8">
        <v>445</v>
      </c>
      <c r="N337" s="11">
        <v>0</v>
      </c>
      <c r="O337" s="12"/>
      <c r="P337" t="s">
        <v>1359</v>
      </c>
      <c r="R337" s="53" t="s">
        <v>1362</v>
      </c>
      <c r="S337" s="54">
        <v>54</v>
      </c>
      <c r="T337" s="53" t="s">
        <v>1363</v>
      </c>
      <c r="U337" s="54">
        <v>31</v>
      </c>
    </row>
    <row r="338" spans="1:21" ht="54.75" hidden="1" customHeight="1" x14ac:dyDescent="0.25">
      <c r="A338" s="2" t="s">
        <v>1166</v>
      </c>
      <c r="B338" s="3" t="s">
        <v>509</v>
      </c>
      <c r="C338" s="4">
        <v>5</v>
      </c>
      <c r="D338" s="4" t="s">
        <v>510</v>
      </c>
      <c r="E338" s="3" t="s">
        <v>511</v>
      </c>
      <c r="F338" s="3" t="s">
        <v>11</v>
      </c>
      <c r="G338" s="3" t="s">
        <v>11</v>
      </c>
      <c r="H338" s="3" t="s">
        <v>1381</v>
      </c>
      <c r="I338" s="4" t="s">
        <v>21</v>
      </c>
      <c r="J338" s="7">
        <v>5765</v>
      </c>
      <c r="K338" s="8">
        <v>8265</v>
      </c>
      <c r="L338" s="8">
        <v>8265</v>
      </c>
      <c r="M338" s="8">
        <v>1940</v>
      </c>
      <c r="N338" s="11">
        <v>0</v>
      </c>
      <c r="O338" s="12"/>
      <c r="P338" s="2" t="s">
        <v>1361</v>
      </c>
      <c r="Q338" s="52">
        <v>732</v>
      </c>
      <c r="R338" s="53" t="s">
        <v>1362</v>
      </c>
      <c r="S338" s="54">
        <v>54</v>
      </c>
      <c r="T338" s="53" t="s">
        <v>1363</v>
      </c>
      <c r="U338" s="54">
        <v>31</v>
      </c>
    </row>
    <row r="339" spans="1:21" ht="54.75" hidden="1" customHeight="1" x14ac:dyDescent="0.25">
      <c r="A339" s="2" t="s">
        <v>1167</v>
      </c>
      <c r="B339" s="3" t="s">
        <v>985</v>
      </c>
      <c r="C339" s="4">
        <v>3</v>
      </c>
      <c r="D339" s="4" t="s">
        <v>986</v>
      </c>
      <c r="E339" s="3" t="s">
        <v>987</v>
      </c>
      <c r="F339" s="3" t="s">
        <v>29</v>
      </c>
      <c r="G339" s="3" t="s">
        <v>29</v>
      </c>
      <c r="H339" s="3" t="s">
        <v>1375</v>
      </c>
      <c r="I339" s="4" t="s">
        <v>21</v>
      </c>
      <c r="J339" s="7">
        <v>5745</v>
      </c>
      <c r="K339" s="8">
        <v>10476</v>
      </c>
      <c r="L339" s="8">
        <v>1716</v>
      </c>
      <c r="M339" s="8">
        <v>365</v>
      </c>
      <c r="N339" s="11">
        <v>0</v>
      </c>
      <c r="O339" s="12"/>
      <c r="P339" s="2" t="s">
        <v>1360</v>
      </c>
      <c r="Q339" s="52">
        <v>763</v>
      </c>
      <c r="R339" s="53" t="s">
        <v>1362</v>
      </c>
      <c r="S339" s="54">
        <v>54</v>
      </c>
      <c r="T339" s="53" t="s">
        <v>1363</v>
      </c>
      <c r="U339" s="54">
        <v>31</v>
      </c>
    </row>
    <row r="340" spans="1:21" ht="54.75" hidden="1" customHeight="1" x14ac:dyDescent="0.25">
      <c r="A340" s="2" t="s">
        <v>1168</v>
      </c>
      <c r="B340" s="3" t="s">
        <v>928</v>
      </c>
      <c r="C340" s="4">
        <v>5</v>
      </c>
      <c r="D340" s="4" t="s">
        <v>929</v>
      </c>
      <c r="E340" s="3" t="s">
        <v>930</v>
      </c>
      <c r="F340" s="3" t="s">
        <v>11</v>
      </c>
      <c r="G340" s="3" t="s">
        <v>11</v>
      </c>
      <c r="H340" s="3" t="s">
        <v>1381</v>
      </c>
      <c r="I340" s="4" t="s">
        <v>21</v>
      </c>
      <c r="J340" s="7">
        <v>5605</v>
      </c>
      <c r="K340" s="8">
        <v>9101</v>
      </c>
      <c r="L340" s="8">
        <v>4301</v>
      </c>
      <c r="M340" s="8">
        <v>480</v>
      </c>
      <c r="N340" s="11">
        <v>0</v>
      </c>
      <c r="O340" s="12"/>
      <c r="P340" s="2" t="s">
        <v>1360</v>
      </c>
      <c r="Q340" s="52">
        <v>763</v>
      </c>
      <c r="R340" s="53" t="s">
        <v>1362</v>
      </c>
      <c r="S340" s="54">
        <v>54</v>
      </c>
      <c r="T340" s="53" t="s">
        <v>1363</v>
      </c>
      <c r="U340" s="54">
        <v>31</v>
      </c>
    </row>
    <row r="341" spans="1:21" ht="54.75" hidden="1" customHeight="1" x14ac:dyDescent="0.25">
      <c r="A341" s="2" t="s">
        <v>1169</v>
      </c>
      <c r="B341" s="3" t="s">
        <v>533</v>
      </c>
      <c r="C341" s="4">
        <v>2</v>
      </c>
      <c r="D341" s="4" t="s">
        <v>534</v>
      </c>
      <c r="E341" s="3" t="s">
        <v>535</v>
      </c>
      <c r="F341" s="3" t="s">
        <v>43</v>
      </c>
      <c r="G341" s="3" t="s">
        <v>43</v>
      </c>
      <c r="H341" s="3" t="s">
        <v>1375</v>
      </c>
      <c r="I341" s="4" t="s">
        <v>21</v>
      </c>
      <c r="J341" s="7">
        <v>5286</v>
      </c>
      <c r="K341" s="8">
        <v>7126</v>
      </c>
      <c r="L341" s="8">
        <v>7126</v>
      </c>
      <c r="M341" s="8">
        <v>1090</v>
      </c>
      <c r="N341" s="11">
        <v>0</v>
      </c>
      <c r="O341" s="12"/>
      <c r="P341" s="2" t="s">
        <v>1358</v>
      </c>
      <c r="Q341" s="52">
        <v>772</v>
      </c>
      <c r="R341" s="53" t="s">
        <v>1362</v>
      </c>
      <c r="S341" s="54">
        <v>54</v>
      </c>
      <c r="T341" s="53" t="s">
        <v>1363</v>
      </c>
      <c r="U341" s="54">
        <v>31</v>
      </c>
    </row>
    <row r="342" spans="1:21" ht="54.75" hidden="1" customHeight="1" x14ac:dyDescent="0.25">
      <c r="A342" s="2" t="s">
        <v>1170</v>
      </c>
      <c r="B342" s="3" t="s">
        <v>1171</v>
      </c>
      <c r="C342" s="4">
        <v>1</v>
      </c>
      <c r="D342" s="4" t="s">
        <v>1172</v>
      </c>
      <c r="E342" s="3" t="s">
        <v>1173</v>
      </c>
      <c r="F342" s="3" t="s">
        <v>43</v>
      </c>
      <c r="G342" s="3" t="s">
        <v>40</v>
      </c>
      <c r="H342" s="3" t="s">
        <v>1375</v>
      </c>
      <c r="I342" s="4" t="s">
        <v>21</v>
      </c>
      <c r="J342" s="7">
        <v>5121</v>
      </c>
      <c r="K342" s="8">
        <v>6932</v>
      </c>
      <c r="L342" s="8">
        <v>5302</v>
      </c>
      <c r="M342" s="8">
        <v>815</v>
      </c>
      <c r="N342" s="11">
        <v>3000</v>
      </c>
      <c r="O342" s="12">
        <v>45959</v>
      </c>
      <c r="P342" s="2" t="s">
        <v>1361</v>
      </c>
      <c r="Q342" s="52">
        <v>732</v>
      </c>
      <c r="R342" s="53" t="s">
        <v>1362</v>
      </c>
      <c r="S342" s="54">
        <v>54</v>
      </c>
      <c r="T342" s="53" t="s">
        <v>1363</v>
      </c>
      <c r="U342" s="54">
        <v>31</v>
      </c>
    </row>
    <row r="343" spans="1:21" ht="54.75" hidden="1" customHeight="1" x14ac:dyDescent="0.25">
      <c r="A343" s="2" t="s">
        <v>1174</v>
      </c>
      <c r="B343" s="3" t="s">
        <v>1175</v>
      </c>
      <c r="C343" s="4">
        <v>1</v>
      </c>
      <c r="D343" s="4" t="s">
        <v>1176</v>
      </c>
      <c r="E343" s="3" t="s">
        <v>1177</v>
      </c>
      <c r="F343" s="3" t="s">
        <v>40</v>
      </c>
      <c r="G343" s="3" t="s">
        <v>41</v>
      </c>
      <c r="H343" s="3" t="s">
        <v>1375</v>
      </c>
      <c r="I343" s="4" t="s">
        <v>21</v>
      </c>
      <c r="J343" s="7">
        <v>5100</v>
      </c>
      <c r="K343" s="8">
        <v>5796</v>
      </c>
      <c r="L343" s="8">
        <v>4436</v>
      </c>
      <c r="M343" s="8">
        <v>1360</v>
      </c>
      <c r="N343" s="11">
        <v>4436</v>
      </c>
      <c r="O343" s="12">
        <v>45946</v>
      </c>
      <c r="P343" s="2" t="s">
        <v>1358</v>
      </c>
      <c r="Q343" s="52">
        <v>772</v>
      </c>
      <c r="R343" s="53" t="s">
        <v>1362</v>
      </c>
      <c r="S343" s="54">
        <v>54</v>
      </c>
      <c r="T343" s="53" t="s">
        <v>1363</v>
      </c>
      <c r="U343" s="54">
        <v>31</v>
      </c>
    </row>
    <row r="344" spans="1:21" ht="54.75" hidden="1" customHeight="1" x14ac:dyDescent="0.25">
      <c r="A344" s="2" t="s">
        <v>1178</v>
      </c>
      <c r="B344" s="3" t="s">
        <v>1122</v>
      </c>
      <c r="C344" s="4">
        <v>2</v>
      </c>
      <c r="D344" s="4" t="s">
        <v>1123</v>
      </c>
      <c r="E344" s="3" t="s">
        <v>1124</v>
      </c>
      <c r="F344" s="3" t="s">
        <v>43</v>
      </c>
      <c r="G344" s="3" t="s">
        <v>43</v>
      </c>
      <c r="H344" s="3" t="s">
        <v>1375</v>
      </c>
      <c r="I344" s="4" t="s">
        <v>21</v>
      </c>
      <c r="J344" s="7">
        <v>5100</v>
      </c>
      <c r="K344" s="8">
        <v>7390</v>
      </c>
      <c r="L344" s="8">
        <v>7390</v>
      </c>
      <c r="M344" s="8">
        <v>1405</v>
      </c>
      <c r="N344" s="11">
        <v>0</v>
      </c>
      <c r="O344" s="12"/>
      <c r="P344" s="2" t="s">
        <v>1360</v>
      </c>
      <c r="Q344" s="52">
        <v>763</v>
      </c>
      <c r="R344" s="53" t="s">
        <v>1362</v>
      </c>
      <c r="S344" s="54">
        <v>54</v>
      </c>
      <c r="T344" s="53" t="s">
        <v>1363</v>
      </c>
      <c r="U344" s="54">
        <v>31</v>
      </c>
    </row>
    <row r="345" spans="1:21" ht="54.75" hidden="1" customHeight="1" x14ac:dyDescent="0.25">
      <c r="A345" s="2" t="s">
        <v>1179</v>
      </c>
      <c r="B345" s="3" t="s">
        <v>1180</v>
      </c>
      <c r="C345" s="4">
        <v>1</v>
      </c>
      <c r="D345" s="4" t="s">
        <v>1181</v>
      </c>
      <c r="E345" s="3" t="s">
        <v>1182</v>
      </c>
      <c r="F345" s="3" t="s">
        <v>29</v>
      </c>
      <c r="G345" s="3" t="s">
        <v>139</v>
      </c>
      <c r="H345" s="3" t="s">
        <v>1375</v>
      </c>
      <c r="I345" s="4" t="s">
        <v>21</v>
      </c>
      <c r="J345" s="7">
        <v>4997</v>
      </c>
      <c r="K345" s="8">
        <v>6879</v>
      </c>
      <c r="L345" s="8">
        <v>1489</v>
      </c>
      <c r="M345" s="8">
        <v>385</v>
      </c>
      <c r="N345" s="11">
        <v>1082</v>
      </c>
      <c r="O345" s="12">
        <v>45951</v>
      </c>
      <c r="P345" s="2" t="s">
        <v>1360</v>
      </c>
      <c r="Q345" s="52">
        <v>763</v>
      </c>
      <c r="R345" s="53" t="s">
        <v>1362</v>
      </c>
      <c r="S345" s="54">
        <v>54</v>
      </c>
      <c r="T345" s="53" t="s">
        <v>1363</v>
      </c>
      <c r="U345" s="54">
        <v>31</v>
      </c>
    </row>
    <row r="346" spans="1:21" ht="54.75" hidden="1" customHeight="1" x14ac:dyDescent="0.25">
      <c r="A346" s="2" t="s">
        <v>1183</v>
      </c>
      <c r="B346" s="3" t="s">
        <v>1184</v>
      </c>
      <c r="C346" s="4">
        <v>2</v>
      </c>
      <c r="D346" s="4" t="s">
        <v>1185</v>
      </c>
      <c r="E346" s="3" t="s">
        <v>1186</v>
      </c>
      <c r="F346" s="3" t="s">
        <v>43</v>
      </c>
      <c r="G346" s="3" t="s">
        <v>43</v>
      </c>
      <c r="H346" s="3" t="s">
        <v>1375</v>
      </c>
      <c r="I346" s="4" t="s">
        <v>21</v>
      </c>
      <c r="J346" s="7">
        <v>4980</v>
      </c>
      <c r="K346" s="8">
        <v>8079</v>
      </c>
      <c r="L346" s="8">
        <v>3099</v>
      </c>
      <c r="M346" s="8">
        <v>415</v>
      </c>
      <c r="N346" s="11">
        <v>0</v>
      </c>
      <c r="O346" s="12"/>
      <c r="P346" s="2" t="s">
        <v>1360</v>
      </c>
      <c r="Q346" s="52">
        <v>763</v>
      </c>
      <c r="R346" s="53" t="s">
        <v>1362</v>
      </c>
      <c r="S346" s="54">
        <v>54</v>
      </c>
      <c r="T346" s="53" t="s">
        <v>1363</v>
      </c>
      <c r="U346" s="54">
        <v>31</v>
      </c>
    </row>
    <row r="347" spans="1:21" ht="54.75" customHeight="1" x14ac:dyDescent="0.25">
      <c r="A347" s="2" t="s">
        <v>1187</v>
      </c>
      <c r="B347" s="3" t="s">
        <v>1188</v>
      </c>
      <c r="C347" s="4">
        <v>1</v>
      </c>
      <c r="D347" s="4" t="s">
        <v>1189</v>
      </c>
      <c r="E347" s="3" t="s">
        <v>1190</v>
      </c>
      <c r="F347" s="3" t="s">
        <v>40</v>
      </c>
      <c r="G347" s="3" t="s">
        <v>40</v>
      </c>
      <c r="H347" s="3" t="s">
        <v>1375</v>
      </c>
      <c r="I347" s="4" t="s">
        <v>21</v>
      </c>
      <c r="J347" s="7">
        <v>4970</v>
      </c>
      <c r="K347" s="8">
        <v>5712</v>
      </c>
      <c r="L347" s="8">
        <v>5712</v>
      </c>
      <c r="M347" s="8">
        <v>1670</v>
      </c>
      <c r="N347" s="11">
        <v>0</v>
      </c>
      <c r="O347" s="12"/>
      <c r="P347" t="s">
        <v>1359</v>
      </c>
      <c r="R347" s="53" t="s">
        <v>1362</v>
      </c>
      <c r="S347" s="54">
        <v>54</v>
      </c>
      <c r="T347" s="53" t="s">
        <v>1363</v>
      </c>
      <c r="U347" s="54">
        <v>31</v>
      </c>
    </row>
    <row r="348" spans="1:21" ht="54.75" hidden="1" customHeight="1" x14ac:dyDescent="0.25">
      <c r="A348" s="2" t="s">
        <v>1191</v>
      </c>
      <c r="B348" s="3" t="s">
        <v>1192</v>
      </c>
      <c r="C348" s="4">
        <v>2</v>
      </c>
      <c r="D348" s="4" t="s">
        <v>1193</v>
      </c>
      <c r="E348" s="3" t="s">
        <v>1194</v>
      </c>
      <c r="F348" s="3" t="s">
        <v>11</v>
      </c>
      <c r="G348" s="3" t="s">
        <v>11</v>
      </c>
      <c r="H348" s="3" t="s">
        <v>1381</v>
      </c>
      <c r="I348" s="4" t="s">
        <v>21</v>
      </c>
      <c r="J348" s="7">
        <v>4895</v>
      </c>
      <c r="K348" s="8">
        <v>6758</v>
      </c>
      <c r="L348" s="8">
        <v>5063</v>
      </c>
      <c r="M348" s="8">
        <v>565</v>
      </c>
      <c r="N348" s="11">
        <v>0</v>
      </c>
      <c r="O348" s="12"/>
      <c r="P348" s="2" t="s">
        <v>1360</v>
      </c>
      <c r="Q348" s="52">
        <v>763</v>
      </c>
      <c r="R348" s="53" t="s">
        <v>1362</v>
      </c>
      <c r="S348" s="54">
        <v>54</v>
      </c>
      <c r="T348" s="53" t="s">
        <v>1363</v>
      </c>
      <c r="U348" s="54">
        <v>31</v>
      </c>
    </row>
    <row r="349" spans="1:21" ht="54.75" hidden="1" customHeight="1" x14ac:dyDescent="0.25">
      <c r="A349" s="2" t="s">
        <v>1195</v>
      </c>
      <c r="B349" s="3" t="s">
        <v>985</v>
      </c>
      <c r="C349" s="4">
        <v>3</v>
      </c>
      <c r="D349" s="4" t="s">
        <v>986</v>
      </c>
      <c r="E349" s="3" t="s">
        <v>987</v>
      </c>
      <c r="F349" s="3" t="s">
        <v>29</v>
      </c>
      <c r="G349" s="3" t="s">
        <v>29</v>
      </c>
      <c r="H349" s="3" t="s">
        <v>1375</v>
      </c>
      <c r="I349" s="4" t="s">
        <v>21</v>
      </c>
      <c r="J349" s="7">
        <v>4870</v>
      </c>
      <c r="K349" s="8">
        <v>8897</v>
      </c>
      <c r="L349" s="8">
        <v>1457</v>
      </c>
      <c r="M349" s="8">
        <v>310</v>
      </c>
      <c r="N349" s="11">
        <v>0</v>
      </c>
      <c r="O349" s="12"/>
      <c r="P349" s="2" t="s">
        <v>1360</v>
      </c>
      <c r="Q349" s="52">
        <v>763</v>
      </c>
      <c r="R349" s="53" t="s">
        <v>1362</v>
      </c>
      <c r="S349" s="54">
        <v>54</v>
      </c>
      <c r="T349" s="53" t="s">
        <v>1363</v>
      </c>
      <c r="U349" s="54">
        <v>31</v>
      </c>
    </row>
    <row r="350" spans="1:21" ht="54.75" customHeight="1" x14ac:dyDescent="0.25">
      <c r="A350" s="2" t="s">
        <v>1196</v>
      </c>
      <c r="B350" s="3" t="s">
        <v>1163</v>
      </c>
      <c r="C350" s="4">
        <v>2</v>
      </c>
      <c r="D350" s="4" t="s">
        <v>1164</v>
      </c>
      <c r="E350" s="3" t="s">
        <v>1165</v>
      </c>
      <c r="F350" s="3" t="s">
        <v>16</v>
      </c>
      <c r="G350" s="3" t="s">
        <v>16</v>
      </c>
      <c r="H350" s="3" t="s">
        <v>1375</v>
      </c>
      <c r="I350" s="4" t="s">
        <v>21</v>
      </c>
      <c r="J350" s="7">
        <v>4855</v>
      </c>
      <c r="K350" s="8">
        <v>6380</v>
      </c>
      <c r="L350" s="8">
        <v>5475</v>
      </c>
      <c r="M350" s="8">
        <v>905</v>
      </c>
      <c r="N350" s="11">
        <v>0</v>
      </c>
      <c r="O350" s="12"/>
      <c r="P350" t="s">
        <v>1359</v>
      </c>
      <c r="R350" s="53" t="s">
        <v>1362</v>
      </c>
      <c r="S350" s="54">
        <v>54</v>
      </c>
      <c r="T350" s="53" t="s">
        <v>1363</v>
      </c>
      <c r="U350" s="54">
        <v>31</v>
      </c>
    </row>
    <row r="351" spans="1:21" ht="54.75" customHeight="1" x14ac:dyDescent="0.25">
      <c r="A351" s="2" t="s">
        <v>1197</v>
      </c>
      <c r="B351" s="3" t="s">
        <v>845</v>
      </c>
      <c r="C351" s="4">
        <v>5</v>
      </c>
      <c r="D351" s="4" t="s">
        <v>846</v>
      </c>
      <c r="E351" s="3" t="s">
        <v>847</v>
      </c>
      <c r="F351" s="3" t="s">
        <v>43</v>
      </c>
      <c r="G351" s="3" t="s">
        <v>43</v>
      </c>
      <c r="H351" s="3" t="s">
        <v>1375</v>
      </c>
      <c r="I351" s="4" t="s">
        <v>21</v>
      </c>
      <c r="J351" s="7">
        <v>4749</v>
      </c>
      <c r="K351" s="8">
        <v>5540</v>
      </c>
      <c r="L351" s="8">
        <v>4805</v>
      </c>
      <c r="M351" s="8">
        <v>735</v>
      </c>
      <c r="N351" s="11">
        <v>0</v>
      </c>
      <c r="O351" s="12"/>
      <c r="P351" t="s">
        <v>1359</v>
      </c>
      <c r="R351" s="53" t="s">
        <v>1362</v>
      </c>
      <c r="S351" s="54">
        <v>54</v>
      </c>
      <c r="T351" s="53" t="s">
        <v>1363</v>
      </c>
      <c r="U351" s="54">
        <v>31</v>
      </c>
    </row>
    <row r="352" spans="1:21" ht="54.75" hidden="1" customHeight="1" x14ac:dyDescent="0.25">
      <c r="A352" s="2" t="s">
        <v>1198</v>
      </c>
      <c r="B352" s="3" t="s">
        <v>1030</v>
      </c>
      <c r="C352" s="4">
        <v>2</v>
      </c>
      <c r="D352" s="4" t="s">
        <v>1031</v>
      </c>
      <c r="E352" s="3" t="s">
        <v>1032</v>
      </c>
      <c r="F352" s="3" t="s">
        <v>11</v>
      </c>
      <c r="G352" s="3" t="s">
        <v>11</v>
      </c>
      <c r="H352" s="3" t="s">
        <v>1381</v>
      </c>
      <c r="I352" s="4" t="s">
        <v>21</v>
      </c>
      <c r="J352" s="7">
        <v>4650</v>
      </c>
      <c r="K352" s="8">
        <v>6116</v>
      </c>
      <c r="L352" s="8">
        <v>6116</v>
      </c>
      <c r="M352" s="8">
        <v>775</v>
      </c>
      <c r="N352" s="11">
        <v>0</v>
      </c>
      <c r="O352" s="12"/>
      <c r="P352" s="2" t="s">
        <v>1360</v>
      </c>
      <c r="Q352" s="52">
        <v>763</v>
      </c>
      <c r="R352" s="53" t="s">
        <v>1362</v>
      </c>
      <c r="S352" s="54">
        <v>54</v>
      </c>
      <c r="T352" s="53" t="s">
        <v>1363</v>
      </c>
      <c r="U352" s="54">
        <v>31</v>
      </c>
    </row>
    <row r="353" spans="1:21" ht="54.75" hidden="1" customHeight="1" x14ac:dyDescent="0.25">
      <c r="A353" s="2" t="s">
        <v>1199</v>
      </c>
      <c r="B353" s="3" t="s">
        <v>1200</v>
      </c>
      <c r="C353" s="4">
        <v>1</v>
      </c>
      <c r="D353" s="4" t="s">
        <v>1201</v>
      </c>
      <c r="E353" s="3" t="s">
        <v>1202</v>
      </c>
      <c r="F353" s="3" t="s">
        <v>40</v>
      </c>
      <c r="G353" s="3" t="s">
        <v>40</v>
      </c>
      <c r="H353" s="3" t="s">
        <v>1375</v>
      </c>
      <c r="I353" s="4" t="s">
        <v>21</v>
      </c>
      <c r="J353" s="7">
        <v>4560</v>
      </c>
      <c r="K353" s="8">
        <v>5022</v>
      </c>
      <c r="L353" s="8">
        <v>5022</v>
      </c>
      <c r="M353" s="8">
        <v>2200</v>
      </c>
      <c r="N353" s="11">
        <v>0</v>
      </c>
      <c r="O353" s="12"/>
      <c r="P353" s="2" t="s">
        <v>1361</v>
      </c>
      <c r="Q353" s="52">
        <v>732</v>
      </c>
      <c r="R353" s="53" t="s">
        <v>1362</v>
      </c>
      <c r="S353" s="54">
        <v>54</v>
      </c>
      <c r="T353" s="53" t="s">
        <v>1363</v>
      </c>
      <c r="U353" s="54">
        <v>31</v>
      </c>
    </row>
    <row r="354" spans="1:21" ht="54.75" customHeight="1" x14ac:dyDescent="0.25">
      <c r="A354" s="2" t="s">
        <v>1203</v>
      </c>
      <c r="B354" s="3" t="s">
        <v>1071</v>
      </c>
      <c r="C354" s="4">
        <v>2</v>
      </c>
      <c r="D354" s="4" t="s">
        <v>1072</v>
      </c>
      <c r="E354" s="3" t="s">
        <v>1073</v>
      </c>
      <c r="F354" s="3" t="s">
        <v>35</v>
      </c>
      <c r="G354" s="3" t="s">
        <v>35</v>
      </c>
      <c r="H354" s="3" t="s">
        <v>1375</v>
      </c>
      <c r="I354" s="4" t="s">
        <v>21</v>
      </c>
      <c r="J354" s="7">
        <v>4495</v>
      </c>
      <c r="K354" s="8">
        <v>5871</v>
      </c>
      <c r="L354" s="8">
        <v>1271</v>
      </c>
      <c r="M354" s="8">
        <v>575</v>
      </c>
      <c r="N354" s="11">
        <v>0</v>
      </c>
      <c r="O354" s="12"/>
      <c r="P354" t="s">
        <v>1359</v>
      </c>
      <c r="R354" s="53" t="s">
        <v>1362</v>
      </c>
      <c r="S354" s="54">
        <v>54</v>
      </c>
      <c r="T354" s="53" t="s">
        <v>1363</v>
      </c>
      <c r="U354" s="54">
        <v>31</v>
      </c>
    </row>
    <row r="355" spans="1:21" ht="54.75" customHeight="1" x14ac:dyDescent="0.25">
      <c r="A355" s="2" t="s">
        <v>1204</v>
      </c>
      <c r="B355" s="3" t="s">
        <v>1100</v>
      </c>
      <c r="C355" s="4">
        <v>3</v>
      </c>
      <c r="D355" s="4" t="s">
        <v>1101</v>
      </c>
      <c r="E355" s="3" t="s">
        <v>1102</v>
      </c>
      <c r="F355" s="3" t="s">
        <v>40</v>
      </c>
      <c r="G355" s="3" t="s">
        <v>139</v>
      </c>
      <c r="H355" s="3" t="s">
        <v>1375</v>
      </c>
      <c r="I355" s="4" t="s">
        <v>21</v>
      </c>
      <c r="J355" s="7">
        <v>4450</v>
      </c>
      <c r="K355" s="8">
        <v>6148</v>
      </c>
      <c r="L355" s="8">
        <v>1693</v>
      </c>
      <c r="M355" s="8">
        <v>495</v>
      </c>
      <c r="N355" s="11">
        <v>1163</v>
      </c>
      <c r="O355" s="12">
        <v>45944</v>
      </c>
      <c r="P355" t="s">
        <v>1359</v>
      </c>
      <c r="R355" s="53" t="s">
        <v>1362</v>
      </c>
      <c r="S355" s="54">
        <v>54</v>
      </c>
      <c r="T355" s="53" t="s">
        <v>1363</v>
      </c>
      <c r="U355" s="54">
        <v>31</v>
      </c>
    </row>
    <row r="356" spans="1:21" ht="54.75" hidden="1" customHeight="1" x14ac:dyDescent="0.25">
      <c r="A356" s="2" t="s">
        <v>1205</v>
      </c>
      <c r="B356" s="3" t="s">
        <v>1206</v>
      </c>
      <c r="C356" s="4">
        <v>1</v>
      </c>
      <c r="D356" s="4" t="s">
        <v>1207</v>
      </c>
      <c r="E356" s="3" t="s">
        <v>1208</v>
      </c>
      <c r="F356" s="3" t="s">
        <v>29</v>
      </c>
      <c r="G356" s="3" t="s">
        <v>40</v>
      </c>
      <c r="H356" s="3" t="s">
        <v>1375</v>
      </c>
      <c r="I356" s="4" t="s">
        <v>21</v>
      </c>
      <c r="J356" s="7">
        <v>4354</v>
      </c>
      <c r="K356" s="8">
        <v>5359</v>
      </c>
      <c r="L356" s="8">
        <v>5359</v>
      </c>
      <c r="M356" s="8">
        <v>1505</v>
      </c>
      <c r="N356" s="11">
        <v>500</v>
      </c>
      <c r="O356" s="12">
        <v>45953</v>
      </c>
      <c r="P356" s="2" t="s">
        <v>1358</v>
      </c>
      <c r="Q356" s="52">
        <v>772</v>
      </c>
      <c r="R356" s="53" t="s">
        <v>1362</v>
      </c>
      <c r="S356" s="54">
        <v>54</v>
      </c>
      <c r="T356" s="53" t="s">
        <v>1363</v>
      </c>
      <c r="U356" s="54">
        <v>31</v>
      </c>
    </row>
    <row r="357" spans="1:21" ht="54.75" hidden="1" customHeight="1" x14ac:dyDescent="0.25">
      <c r="A357" s="2" t="s">
        <v>1209</v>
      </c>
      <c r="B357" s="3" t="s">
        <v>517</v>
      </c>
      <c r="C357" s="4">
        <v>2</v>
      </c>
      <c r="D357" s="4" t="s">
        <v>518</v>
      </c>
      <c r="E357" s="3" t="s">
        <v>519</v>
      </c>
      <c r="F357" s="3" t="s">
        <v>16</v>
      </c>
      <c r="G357" s="3" t="s">
        <v>16</v>
      </c>
      <c r="H357" s="3" t="s">
        <v>1375</v>
      </c>
      <c r="I357" s="4" t="s">
        <v>21</v>
      </c>
      <c r="J357" s="7">
        <v>4325</v>
      </c>
      <c r="K357" s="8">
        <v>6917</v>
      </c>
      <c r="L357" s="8">
        <v>2087</v>
      </c>
      <c r="M357" s="8">
        <v>345</v>
      </c>
      <c r="N357" s="11">
        <v>0</v>
      </c>
      <c r="O357" s="12"/>
      <c r="P357" s="2" t="s">
        <v>1360</v>
      </c>
      <c r="Q357" s="52">
        <v>763</v>
      </c>
      <c r="R357" s="53" t="s">
        <v>1362</v>
      </c>
      <c r="S357" s="54">
        <v>54</v>
      </c>
      <c r="T357" s="53" t="s">
        <v>1363</v>
      </c>
      <c r="U357" s="54">
        <v>31</v>
      </c>
    </row>
    <row r="358" spans="1:21" ht="54.75" customHeight="1" x14ac:dyDescent="0.25">
      <c r="A358" s="2" t="s">
        <v>1210</v>
      </c>
      <c r="B358" s="3" t="s">
        <v>845</v>
      </c>
      <c r="C358" s="4">
        <v>5</v>
      </c>
      <c r="D358" s="4" t="s">
        <v>846</v>
      </c>
      <c r="E358" s="3" t="s">
        <v>847</v>
      </c>
      <c r="F358" s="3" t="s">
        <v>43</v>
      </c>
      <c r="G358" s="3" t="s">
        <v>43</v>
      </c>
      <c r="H358" s="3" t="s">
        <v>1375</v>
      </c>
      <c r="I358" s="4" t="s">
        <v>21</v>
      </c>
      <c r="J358" s="7">
        <v>4250</v>
      </c>
      <c r="K358" s="8">
        <v>5167</v>
      </c>
      <c r="L358" s="8">
        <v>4557</v>
      </c>
      <c r="M358" s="8">
        <v>610</v>
      </c>
      <c r="N358" s="11">
        <v>0</v>
      </c>
      <c r="O358" s="12"/>
      <c r="P358" t="s">
        <v>1359</v>
      </c>
      <c r="R358" s="53" t="s">
        <v>1362</v>
      </c>
      <c r="S358" s="54">
        <v>54</v>
      </c>
      <c r="T358" s="53" t="s">
        <v>1363</v>
      </c>
      <c r="U358" s="54">
        <v>31</v>
      </c>
    </row>
    <row r="359" spans="1:21" ht="54.75" customHeight="1" x14ac:dyDescent="0.25">
      <c r="A359" s="2" t="s">
        <v>1211</v>
      </c>
      <c r="B359" s="3" t="s">
        <v>1212</v>
      </c>
      <c r="C359" s="4">
        <v>2</v>
      </c>
      <c r="D359" s="4" t="s">
        <v>1213</v>
      </c>
      <c r="E359" s="3" t="s">
        <v>1214</v>
      </c>
      <c r="F359" s="3" t="s">
        <v>16</v>
      </c>
      <c r="G359" s="3" t="s">
        <v>29</v>
      </c>
      <c r="H359" s="3" t="s">
        <v>1375</v>
      </c>
      <c r="I359" s="4" t="s">
        <v>21</v>
      </c>
      <c r="J359" s="7">
        <v>4235</v>
      </c>
      <c r="K359" s="8">
        <v>5414</v>
      </c>
      <c r="L359" s="8">
        <v>4629</v>
      </c>
      <c r="M359" s="8">
        <v>765</v>
      </c>
      <c r="N359" s="11">
        <v>1033</v>
      </c>
      <c r="O359" s="12">
        <v>45960</v>
      </c>
      <c r="P359" t="s">
        <v>1359</v>
      </c>
      <c r="R359" s="53" t="s">
        <v>1362</v>
      </c>
      <c r="S359" s="54">
        <v>54</v>
      </c>
      <c r="T359" s="53" t="s">
        <v>1363</v>
      </c>
      <c r="U359" s="54">
        <v>31</v>
      </c>
    </row>
    <row r="360" spans="1:21" ht="54.75" hidden="1" customHeight="1" x14ac:dyDescent="0.25">
      <c r="A360" s="2" t="s">
        <v>1215</v>
      </c>
      <c r="B360" s="3" t="s">
        <v>1216</v>
      </c>
      <c r="C360" s="4">
        <v>1</v>
      </c>
      <c r="D360" s="4" t="s">
        <v>1217</v>
      </c>
      <c r="E360" s="3" t="s">
        <v>1218</v>
      </c>
      <c r="F360" s="3" t="s">
        <v>40</v>
      </c>
      <c r="G360" s="3" t="s">
        <v>41</v>
      </c>
      <c r="H360" s="3" t="s">
        <v>1375</v>
      </c>
      <c r="I360" s="4" t="s">
        <v>21</v>
      </c>
      <c r="J360" s="7">
        <v>4218</v>
      </c>
      <c r="K360" s="8">
        <v>4652</v>
      </c>
      <c r="L360" s="8">
        <v>4652</v>
      </c>
      <c r="M360" s="8">
        <v>2040</v>
      </c>
      <c r="N360" s="11">
        <v>4652</v>
      </c>
      <c r="O360" s="12">
        <v>45958</v>
      </c>
      <c r="P360" s="2" t="s">
        <v>1360</v>
      </c>
      <c r="Q360" s="52">
        <v>763</v>
      </c>
      <c r="R360" s="53" t="s">
        <v>1362</v>
      </c>
      <c r="S360" s="54">
        <v>54</v>
      </c>
      <c r="T360" s="53" t="s">
        <v>1363</v>
      </c>
      <c r="U360" s="54">
        <v>31</v>
      </c>
    </row>
    <row r="361" spans="1:21" ht="54.75" customHeight="1" x14ac:dyDescent="0.25">
      <c r="A361" s="2" t="s">
        <v>1219</v>
      </c>
      <c r="B361" s="3" t="s">
        <v>1220</v>
      </c>
      <c r="C361" s="4">
        <v>1</v>
      </c>
      <c r="D361" s="4" t="s">
        <v>1221</v>
      </c>
      <c r="E361" s="3" t="s">
        <v>1222</v>
      </c>
      <c r="F361" s="3" t="s">
        <v>43</v>
      </c>
      <c r="G361" s="3" t="s">
        <v>43</v>
      </c>
      <c r="H361" s="3" t="s">
        <v>1375</v>
      </c>
      <c r="I361" s="4" t="s">
        <v>21</v>
      </c>
      <c r="J361" s="7">
        <v>4175</v>
      </c>
      <c r="K361" s="8">
        <v>6419</v>
      </c>
      <c r="L361" s="8">
        <v>3099</v>
      </c>
      <c r="M361" s="8">
        <v>415</v>
      </c>
      <c r="N361" s="11">
        <v>0</v>
      </c>
      <c r="O361" s="12"/>
      <c r="P361" t="s">
        <v>1359</v>
      </c>
      <c r="R361" s="53" t="s">
        <v>1362</v>
      </c>
      <c r="S361" s="54">
        <v>54</v>
      </c>
      <c r="T361" s="53" t="s">
        <v>1363</v>
      </c>
      <c r="U361" s="54">
        <v>31</v>
      </c>
    </row>
    <row r="362" spans="1:21" ht="54.75" hidden="1" customHeight="1" x14ac:dyDescent="0.25">
      <c r="A362" s="2" t="s">
        <v>1223</v>
      </c>
      <c r="B362" s="3" t="s">
        <v>1224</v>
      </c>
      <c r="C362" s="4">
        <v>1</v>
      </c>
      <c r="D362" s="4" t="s">
        <v>1225</v>
      </c>
      <c r="E362" s="3" t="s">
        <v>1226</v>
      </c>
      <c r="F362" s="3" t="s">
        <v>29</v>
      </c>
      <c r="G362" s="3" t="s">
        <v>29</v>
      </c>
      <c r="H362" s="3" t="s">
        <v>1375</v>
      </c>
      <c r="I362" s="4" t="s">
        <v>21</v>
      </c>
      <c r="J362" s="7">
        <v>4170</v>
      </c>
      <c r="K362" s="8">
        <v>5553</v>
      </c>
      <c r="L362" s="8">
        <v>2343</v>
      </c>
      <c r="M362" s="8">
        <v>535</v>
      </c>
      <c r="N362" s="11">
        <v>0</v>
      </c>
      <c r="O362" s="12"/>
      <c r="P362" s="2" t="s">
        <v>1361</v>
      </c>
      <c r="Q362" s="52">
        <v>732</v>
      </c>
      <c r="R362" s="53" t="s">
        <v>1362</v>
      </c>
      <c r="S362" s="54">
        <v>54</v>
      </c>
      <c r="T362" s="53" t="s">
        <v>1363</v>
      </c>
      <c r="U362" s="54">
        <v>31</v>
      </c>
    </row>
    <row r="363" spans="1:21" ht="54.75" hidden="1" customHeight="1" x14ac:dyDescent="0.25">
      <c r="A363" s="2" t="s">
        <v>1227</v>
      </c>
      <c r="B363" s="3" t="s">
        <v>1228</v>
      </c>
      <c r="C363" s="4">
        <v>1</v>
      </c>
      <c r="D363" s="4" t="s">
        <v>1229</v>
      </c>
      <c r="E363" s="3" t="s">
        <v>1230</v>
      </c>
      <c r="F363" s="3" t="s">
        <v>29</v>
      </c>
      <c r="G363" s="3" t="s">
        <v>29</v>
      </c>
      <c r="H363" s="3" t="s">
        <v>1375</v>
      </c>
      <c r="I363" s="4" t="s">
        <v>21</v>
      </c>
      <c r="J363" s="7">
        <v>4104</v>
      </c>
      <c r="K363" s="8">
        <v>4969</v>
      </c>
      <c r="L363" s="8">
        <v>3994</v>
      </c>
      <c r="M363" s="8">
        <v>975</v>
      </c>
      <c r="N363" s="11">
        <v>184</v>
      </c>
      <c r="O363" s="12">
        <v>45937</v>
      </c>
      <c r="P363" s="2" t="s">
        <v>1358</v>
      </c>
      <c r="Q363" s="52">
        <v>772</v>
      </c>
      <c r="R363" s="53" t="s">
        <v>1362</v>
      </c>
      <c r="S363" s="54">
        <v>54</v>
      </c>
      <c r="T363" s="53" t="s">
        <v>1363</v>
      </c>
      <c r="U363" s="54">
        <v>31</v>
      </c>
    </row>
    <row r="364" spans="1:21" ht="54.75" hidden="1" customHeight="1" x14ac:dyDescent="0.25">
      <c r="A364" s="2" t="s">
        <v>1231</v>
      </c>
      <c r="B364" s="3" t="s">
        <v>928</v>
      </c>
      <c r="C364" s="4">
        <v>5</v>
      </c>
      <c r="D364" s="4" t="s">
        <v>929</v>
      </c>
      <c r="E364" s="3" t="s">
        <v>930</v>
      </c>
      <c r="F364" s="3" t="s">
        <v>11</v>
      </c>
      <c r="G364" s="3" t="s">
        <v>11</v>
      </c>
      <c r="H364" s="3" t="s">
        <v>1381</v>
      </c>
      <c r="I364" s="4" t="s">
        <v>21</v>
      </c>
      <c r="J364" s="7">
        <v>4015</v>
      </c>
      <c r="K364" s="8">
        <v>6541</v>
      </c>
      <c r="L364" s="8">
        <v>3091</v>
      </c>
      <c r="M364" s="8">
        <v>345</v>
      </c>
      <c r="N364" s="11">
        <v>0</v>
      </c>
      <c r="O364" s="12"/>
      <c r="P364" s="2" t="s">
        <v>1360</v>
      </c>
      <c r="Q364" s="52">
        <v>763</v>
      </c>
      <c r="R364" s="53" t="s">
        <v>1362</v>
      </c>
      <c r="S364" s="54">
        <v>54</v>
      </c>
      <c r="T364" s="53" t="s">
        <v>1363</v>
      </c>
      <c r="U364" s="54">
        <v>31</v>
      </c>
    </row>
    <row r="365" spans="1:21" ht="54.75" hidden="1" customHeight="1" x14ac:dyDescent="0.25">
      <c r="A365" s="2" t="s">
        <v>1232</v>
      </c>
      <c r="B365" s="3" t="s">
        <v>1184</v>
      </c>
      <c r="C365" s="4">
        <v>2</v>
      </c>
      <c r="D365" s="4" t="s">
        <v>1185</v>
      </c>
      <c r="E365" s="3" t="s">
        <v>1186</v>
      </c>
      <c r="F365" s="3" t="s">
        <v>43</v>
      </c>
      <c r="G365" s="3" t="s">
        <v>43</v>
      </c>
      <c r="H365" s="3" t="s">
        <v>1375</v>
      </c>
      <c r="I365" s="4" t="s">
        <v>21</v>
      </c>
      <c r="J365" s="7">
        <v>4015</v>
      </c>
      <c r="K365" s="8">
        <v>6372</v>
      </c>
      <c r="L365" s="8">
        <v>2577</v>
      </c>
      <c r="M365" s="8">
        <v>345</v>
      </c>
      <c r="N365" s="11">
        <v>0</v>
      </c>
      <c r="O365" s="12"/>
      <c r="P365" s="2" t="s">
        <v>1360</v>
      </c>
      <c r="Q365" s="52">
        <v>763</v>
      </c>
      <c r="R365" s="53" t="s">
        <v>1362</v>
      </c>
      <c r="S365" s="54">
        <v>54</v>
      </c>
      <c r="T365" s="53" t="s">
        <v>1363</v>
      </c>
      <c r="U365" s="54">
        <v>31</v>
      </c>
    </row>
    <row r="366" spans="1:21" ht="54.75" hidden="1" customHeight="1" x14ac:dyDescent="0.25">
      <c r="A366" s="2" t="s">
        <v>1233</v>
      </c>
      <c r="B366" s="3" t="s">
        <v>1234</v>
      </c>
      <c r="C366" s="4">
        <v>1</v>
      </c>
      <c r="D366" s="4" t="s">
        <v>1235</v>
      </c>
      <c r="E366" s="3" t="s">
        <v>1236</v>
      </c>
      <c r="F366" s="3" t="s">
        <v>11</v>
      </c>
      <c r="G366" s="3" t="s">
        <v>41</v>
      </c>
      <c r="H366" s="3" t="s">
        <v>1381</v>
      </c>
      <c r="I366" s="4" t="s">
        <v>21</v>
      </c>
      <c r="J366" s="7">
        <v>3819</v>
      </c>
      <c r="K366" s="8">
        <v>5311</v>
      </c>
      <c r="L366" s="8">
        <v>4701</v>
      </c>
      <c r="M366" s="8">
        <v>610</v>
      </c>
      <c r="N366" s="11">
        <v>4701</v>
      </c>
      <c r="O366" s="12">
        <v>45957</v>
      </c>
      <c r="P366" s="2" t="s">
        <v>1360</v>
      </c>
      <c r="Q366" s="52">
        <v>763</v>
      </c>
      <c r="R366" s="53" t="s">
        <v>1362</v>
      </c>
      <c r="S366" s="54">
        <v>54</v>
      </c>
      <c r="T366" s="53" t="s">
        <v>1363</v>
      </c>
      <c r="U366" s="54">
        <v>31</v>
      </c>
    </row>
    <row r="367" spans="1:21" ht="54.75" customHeight="1" x14ac:dyDescent="0.25">
      <c r="A367" s="2" t="s">
        <v>1237</v>
      </c>
      <c r="B367" s="3" t="s">
        <v>202</v>
      </c>
      <c r="C367" s="4">
        <v>3</v>
      </c>
      <c r="D367" s="4" t="s">
        <v>203</v>
      </c>
      <c r="E367" s="3" t="s">
        <v>204</v>
      </c>
      <c r="F367" s="3" t="s">
        <v>11</v>
      </c>
      <c r="G367" s="3" t="s">
        <v>11</v>
      </c>
      <c r="H367" s="3" t="s">
        <v>1381</v>
      </c>
      <c r="I367" s="4" t="s">
        <v>21</v>
      </c>
      <c r="J367" s="7">
        <v>3810</v>
      </c>
      <c r="K367" s="8">
        <v>5802</v>
      </c>
      <c r="L367" s="8">
        <v>4347</v>
      </c>
      <c r="M367" s="8">
        <v>485</v>
      </c>
      <c r="N367" s="11">
        <v>0</v>
      </c>
      <c r="O367" s="12"/>
      <c r="P367" t="s">
        <v>1359</v>
      </c>
      <c r="R367" s="53" t="s">
        <v>1362</v>
      </c>
      <c r="S367" s="54">
        <v>54</v>
      </c>
      <c r="T367" s="53" t="s">
        <v>1363</v>
      </c>
      <c r="U367" s="54">
        <v>31</v>
      </c>
    </row>
    <row r="368" spans="1:21" ht="54.75" hidden="1" customHeight="1" x14ac:dyDescent="0.25">
      <c r="A368" s="2" t="s">
        <v>1238</v>
      </c>
      <c r="B368" s="3" t="s">
        <v>326</v>
      </c>
      <c r="C368" s="4">
        <v>5</v>
      </c>
      <c r="D368" s="4" t="s">
        <v>327</v>
      </c>
      <c r="E368" s="3" t="s">
        <v>328</v>
      </c>
      <c r="F368" s="3" t="s">
        <v>11</v>
      </c>
      <c r="G368" s="3" t="s">
        <v>11</v>
      </c>
      <c r="H368" s="3" t="s">
        <v>1381</v>
      </c>
      <c r="I368" s="4" t="s">
        <v>21</v>
      </c>
      <c r="J368" s="7">
        <v>3705</v>
      </c>
      <c r="K368" s="8">
        <v>5792</v>
      </c>
      <c r="L368" s="8">
        <v>3717</v>
      </c>
      <c r="M368" s="8">
        <v>415</v>
      </c>
      <c r="N368" s="11">
        <v>0</v>
      </c>
      <c r="O368" s="12"/>
      <c r="P368" s="2" t="s">
        <v>1358</v>
      </c>
      <c r="Q368" s="52">
        <v>772</v>
      </c>
      <c r="R368" s="53" t="s">
        <v>1362</v>
      </c>
      <c r="S368" s="54">
        <v>54</v>
      </c>
      <c r="T368" s="53" t="s">
        <v>1363</v>
      </c>
      <c r="U368" s="54">
        <v>31</v>
      </c>
    </row>
    <row r="369" spans="1:21" ht="54.75" hidden="1" customHeight="1" x14ac:dyDescent="0.25">
      <c r="A369" s="2" t="s">
        <v>1239</v>
      </c>
      <c r="B369" s="3" t="s">
        <v>37</v>
      </c>
      <c r="C369" s="4">
        <v>2</v>
      </c>
      <c r="D369" s="4" t="s">
        <v>38</v>
      </c>
      <c r="E369" s="3" t="s">
        <v>39</v>
      </c>
      <c r="F369" s="3" t="s">
        <v>40</v>
      </c>
      <c r="G369" s="3" t="s">
        <v>41</v>
      </c>
      <c r="H369" s="3" t="s">
        <v>1375</v>
      </c>
      <c r="I369" s="4" t="s">
        <v>21</v>
      </c>
      <c r="J369" s="7">
        <v>3680</v>
      </c>
      <c r="K369" s="8">
        <v>5216</v>
      </c>
      <c r="L369" s="8">
        <v>1076</v>
      </c>
      <c r="M369" s="8">
        <v>345</v>
      </c>
      <c r="N369" s="11">
        <v>1076</v>
      </c>
      <c r="O369" s="12">
        <v>45955</v>
      </c>
      <c r="P369" s="2" t="s">
        <v>1361</v>
      </c>
      <c r="Q369" s="52">
        <v>732</v>
      </c>
      <c r="R369" s="53" t="s">
        <v>1362</v>
      </c>
      <c r="S369" s="54">
        <v>54</v>
      </c>
      <c r="T369" s="53" t="s">
        <v>1363</v>
      </c>
      <c r="U369" s="54">
        <v>31</v>
      </c>
    </row>
    <row r="370" spans="1:21" ht="54.75" customHeight="1" x14ac:dyDescent="0.25">
      <c r="A370" s="2" t="s">
        <v>1240</v>
      </c>
      <c r="B370" s="3" t="s">
        <v>202</v>
      </c>
      <c r="C370" s="4">
        <v>3</v>
      </c>
      <c r="D370" s="4" t="s">
        <v>203</v>
      </c>
      <c r="E370" s="3" t="s">
        <v>204</v>
      </c>
      <c r="F370" s="3" t="s">
        <v>11</v>
      </c>
      <c r="G370" s="3" t="s">
        <v>11</v>
      </c>
      <c r="H370" s="3" t="s">
        <v>1381</v>
      </c>
      <c r="I370" s="4" t="s">
        <v>21</v>
      </c>
      <c r="J370" s="7">
        <v>3675</v>
      </c>
      <c r="K370" s="8">
        <v>4705</v>
      </c>
      <c r="L370" s="8">
        <v>4705</v>
      </c>
      <c r="M370" s="8">
        <v>525</v>
      </c>
      <c r="N370" s="11">
        <v>0</v>
      </c>
      <c r="O370" s="12"/>
      <c r="P370" t="s">
        <v>1359</v>
      </c>
      <c r="R370" s="53" t="s">
        <v>1362</v>
      </c>
      <c r="S370" s="54">
        <v>54</v>
      </c>
      <c r="T370" s="53" t="s">
        <v>1363</v>
      </c>
      <c r="U370" s="54">
        <v>31</v>
      </c>
    </row>
    <row r="371" spans="1:21" ht="54.75" hidden="1" customHeight="1" x14ac:dyDescent="0.25">
      <c r="A371" s="2" t="s">
        <v>1241</v>
      </c>
      <c r="B371" s="3" t="s">
        <v>1055</v>
      </c>
      <c r="C371" s="4">
        <v>2</v>
      </c>
      <c r="D371" s="4" t="s">
        <v>1056</v>
      </c>
      <c r="E371" s="3" t="s">
        <v>1057</v>
      </c>
      <c r="F371" s="3" t="s">
        <v>11</v>
      </c>
      <c r="G371" s="3" t="s">
        <v>11</v>
      </c>
      <c r="H371" s="3" t="s">
        <v>1381</v>
      </c>
      <c r="I371" s="4" t="s">
        <v>21</v>
      </c>
      <c r="J371" s="7">
        <v>3560</v>
      </c>
      <c r="K371" s="8">
        <v>4295</v>
      </c>
      <c r="L371" s="8">
        <v>3795</v>
      </c>
      <c r="M371" s="8">
        <v>500</v>
      </c>
      <c r="N371" s="11">
        <v>0</v>
      </c>
      <c r="O371" s="12"/>
      <c r="P371" s="2" t="s">
        <v>1360</v>
      </c>
      <c r="Q371" s="52">
        <v>763</v>
      </c>
      <c r="R371" s="53" t="s">
        <v>1362</v>
      </c>
      <c r="S371" s="54">
        <v>54</v>
      </c>
      <c r="T371" s="53" t="s">
        <v>1363</v>
      </c>
      <c r="U371" s="54">
        <v>31</v>
      </c>
    </row>
    <row r="372" spans="1:21" ht="54.75" hidden="1" customHeight="1" x14ac:dyDescent="0.25">
      <c r="A372" s="2" t="s">
        <v>1242</v>
      </c>
      <c r="B372" s="3" t="s">
        <v>1047</v>
      </c>
      <c r="C372" s="4">
        <v>2</v>
      </c>
      <c r="D372" s="4" t="s">
        <v>1048</v>
      </c>
      <c r="E372" s="3" t="s">
        <v>1049</v>
      </c>
      <c r="F372" s="3" t="s">
        <v>29</v>
      </c>
      <c r="G372" s="3" t="s">
        <v>29</v>
      </c>
      <c r="H372" s="3" t="s">
        <v>1375</v>
      </c>
      <c r="I372" s="4" t="s">
        <v>21</v>
      </c>
      <c r="J372" s="7">
        <v>3450</v>
      </c>
      <c r="K372" s="8">
        <v>5516</v>
      </c>
      <c r="L372" s="8">
        <v>1316</v>
      </c>
      <c r="M372" s="8">
        <v>280</v>
      </c>
      <c r="N372" s="11">
        <v>0</v>
      </c>
      <c r="O372" s="12"/>
      <c r="P372" s="2" t="s">
        <v>1360</v>
      </c>
      <c r="Q372" s="52">
        <v>763</v>
      </c>
      <c r="R372" s="53" t="s">
        <v>1362</v>
      </c>
      <c r="S372" s="54">
        <v>54</v>
      </c>
      <c r="T372" s="53" t="s">
        <v>1363</v>
      </c>
      <c r="U372" s="54">
        <v>31</v>
      </c>
    </row>
    <row r="373" spans="1:21" ht="54.75" customHeight="1" x14ac:dyDescent="0.25">
      <c r="A373" s="2" t="s">
        <v>1243</v>
      </c>
      <c r="B373" s="3" t="s">
        <v>1244</v>
      </c>
      <c r="C373" s="4">
        <v>1</v>
      </c>
      <c r="D373" s="4" t="s">
        <v>1245</v>
      </c>
      <c r="E373" s="3" t="s">
        <v>1246</v>
      </c>
      <c r="F373" s="3" t="s">
        <v>16</v>
      </c>
      <c r="G373" s="3" t="s">
        <v>29</v>
      </c>
      <c r="H373" s="3" t="s">
        <v>1375</v>
      </c>
      <c r="I373" s="4" t="s">
        <v>21</v>
      </c>
      <c r="J373" s="7">
        <v>3450</v>
      </c>
      <c r="K373" s="8">
        <v>4150</v>
      </c>
      <c r="L373" s="8">
        <v>2650</v>
      </c>
      <c r="M373" s="8">
        <v>500</v>
      </c>
      <c r="N373" s="11">
        <v>500</v>
      </c>
      <c r="O373" s="12">
        <v>45954</v>
      </c>
      <c r="P373" t="s">
        <v>1359</v>
      </c>
      <c r="R373" s="53" t="s">
        <v>1362</v>
      </c>
      <c r="S373" s="54">
        <v>54</v>
      </c>
      <c r="T373" s="53" t="s">
        <v>1363</v>
      </c>
      <c r="U373" s="54">
        <v>31</v>
      </c>
    </row>
    <row r="374" spans="1:21" ht="54.75" hidden="1" customHeight="1" x14ac:dyDescent="0.25">
      <c r="A374" s="2" t="s">
        <v>1247</v>
      </c>
      <c r="B374" s="3" t="s">
        <v>1043</v>
      </c>
      <c r="C374" s="4">
        <v>3</v>
      </c>
      <c r="D374" s="4" t="s">
        <v>1044</v>
      </c>
      <c r="E374" s="3" t="s">
        <v>1045</v>
      </c>
      <c r="F374" s="3" t="s">
        <v>29</v>
      </c>
      <c r="G374" s="3" t="s">
        <v>29</v>
      </c>
      <c r="H374" s="3" t="s">
        <v>1375</v>
      </c>
      <c r="I374" s="4" t="s">
        <v>21</v>
      </c>
      <c r="J374" s="7">
        <v>3435</v>
      </c>
      <c r="K374" s="8">
        <v>3962</v>
      </c>
      <c r="L374" s="8">
        <v>3267</v>
      </c>
      <c r="M374" s="8">
        <v>695</v>
      </c>
      <c r="N374" s="11">
        <v>730</v>
      </c>
      <c r="O374" s="12">
        <v>45937</v>
      </c>
      <c r="P374" s="2" t="s">
        <v>1358</v>
      </c>
      <c r="Q374" s="52">
        <v>772</v>
      </c>
      <c r="R374" s="53" t="s">
        <v>1362</v>
      </c>
      <c r="S374" s="54">
        <v>54</v>
      </c>
      <c r="T374" s="53" t="s">
        <v>1363</v>
      </c>
      <c r="U374" s="54">
        <v>31</v>
      </c>
    </row>
    <row r="375" spans="1:21" ht="54.75" customHeight="1" x14ac:dyDescent="0.25">
      <c r="A375" s="2" t="s">
        <v>1248</v>
      </c>
      <c r="B375" s="3" t="s">
        <v>874</v>
      </c>
      <c r="C375" s="4">
        <v>2</v>
      </c>
      <c r="D375" s="4" t="s">
        <v>875</v>
      </c>
      <c r="E375" s="3" t="s">
        <v>876</v>
      </c>
      <c r="F375" s="3" t="s">
        <v>16</v>
      </c>
      <c r="G375" s="3" t="s">
        <v>16</v>
      </c>
      <c r="H375" s="3" t="s">
        <v>1375</v>
      </c>
      <c r="I375" s="4" t="s">
        <v>21</v>
      </c>
      <c r="J375" s="7">
        <v>3369</v>
      </c>
      <c r="K375" s="8">
        <v>4813</v>
      </c>
      <c r="L375" s="8">
        <v>4813</v>
      </c>
      <c r="M375" s="8">
        <v>3565</v>
      </c>
      <c r="N375" s="11">
        <v>0</v>
      </c>
      <c r="O375" s="12"/>
      <c r="P375" t="s">
        <v>1359</v>
      </c>
      <c r="R375" s="53" t="s">
        <v>1362</v>
      </c>
      <c r="S375" s="54">
        <v>54</v>
      </c>
      <c r="T375" s="53" t="s">
        <v>1363</v>
      </c>
      <c r="U375" s="54">
        <v>31</v>
      </c>
    </row>
    <row r="376" spans="1:21" ht="54.75" customHeight="1" x14ac:dyDescent="0.25">
      <c r="A376" s="2" t="s">
        <v>1249</v>
      </c>
      <c r="B376" s="3" t="s">
        <v>1250</v>
      </c>
      <c r="C376" s="4">
        <v>2</v>
      </c>
      <c r="D376" s="4" t="s">
        <v>1251</v>
      </c>
      <c r="E376" s="3" t="s">
        <v>1252</v>
      </c>
      <c r="F376" s="3" t="s">
        <v>40</v>
      </c>
      <c r="G376" s="3" t="s">
        <v>40</v>
      </c>
      <c r="H376" s="3" t="s">
        <v>1375</v>
      </c>
      <c r="I376" s="4" t="s">
        <v>21</v>
      </c>
      <c r="J376" s="7">
        <v>3310</v>
      </c>
      <c r="K376" s="8">
        <v>3937</v>
      </c>
      <c r="L376" s="8">
        <v>3937</v>
      </c>
      <c r="M376" s="8">
        <v>1675</v>
      </c>
      <c r="N376" s="11">
        <v>0</v>
      </c>
      <c r="O376" s="12"/>
      <c r="P376" t="s">
        <v>1359</v>
      </c>
      <c r="R376" s="53" t="s">
        <v>1362</v>
      </c>
      <c r="S376" s="54">
        <v>54</v>
      </c>
      <c r="T376" s="53" t="s">
        <v>1363</v>
      </c>
      <c r="U376" s="54">
        <v>31</v>
      </c>
    </row>
    <row r="377" spans="1:21" ht="54.75" hidden="1" customHeight="1" x14ac:dyDescent="0.25">
      <c r="A377" s="2" t="s">
        <v>1253</v>
      </c>
      <c r="B377" s="3" t="s">
        <v>1254</v>
      </c>
      <c r="C377" s="4">
        <v>2</v>
      </c>
      <c r="D377" s="4" t="s">
        <v>1255</v>
      </c>
      <c r="E377" s="3" t="s">
        <v>1256</v>
      </c>
      <c r="F377" s="3" t="s">
        <v>40</v>
      </c>
      <c r="G377" s="3" t="s">
        <v>139</v>
      </c>
      <c r="H377" s="3" t="s">
        <v>1375</v>
      </c>
      <c r="I377" s="4" t="s">
        <v>21</v>
      </c>
      <c r="J377" s="7">
        <v>3195</v>
      </c>
      <c r="K377" s="8">
        <v>3820</v>
      </c>
      <c r="L377" s="8">
        <v>2035</v>
      </c>
      <c r="M377" s="8">
        <v>595</v>
      </c>
      <c r="N377" s="11">
        <v>1421</v>
      </c>
      <c r="O377" s="12">
        <v>45959</v>
      </c>
      <c r="P377" s="2" t="s">
        <v>1360</v>
      </c>
      <c r="Q377" s="52">
        <v>763</v>
      </c>
      <c r="R377" s="53" t="s">
        <v>1362</v>
      </c>
      <c r="S377" s="54">
        <v>54</v>
      </c>
      <c r="T377" s="53" t="s">
        <v>1363</v>
      </c>
      <c r="U377" s="54">
        <v>31</v>
      </c>
    </row>
    <row r="378" spans="1:21" ht="54.75" hidden="1" customHeight="1" x14ac:dyDescent="0.25">
      <c r="A378" s="2" t="s">
        <v>1257</v>
      </c>
      <c r="B378" s="3" t="s">
        <v>1258</v>
      </c>
      <c r="C378" s="4">
        <v>1</v>
      </c>
      <c r="D378" s="4" t="s">
        <v>1259</v>
      </c>
      <c r="E378" s="3" t="s">
        <v>1260</v>
      </c>
      <c r="F378" s="3" t="s">
        <v>16</v>
      </c>
      <c r="G378" s="3" t="s">
        <v>16</v>
      </c>
      <c r="H378" s="3" t="s">
        <v>1375</v>
      </c>
      <c r="I378" s="4" t="s">
        <v>21</v>
      </c>
      <c r="J378" s="7">
        <v>3095</v>
      </c>
      <c r="K378" s="8">
        <v>3889</v>
      </c>
      <c r="L378" s="8">
        <v>3324</v>
      </c>
      <c r="M378" s="8">
        <v>565</v>
      </c>
      <c r="N378" s="11">
        <v>0</v>
      </c>
      <c r="O378" s="12"/>
      <c r="P378" s="2" t="s">
        <v>1361</v>
      </c>
      <c r="Q378" s="52">
        <v>732</v>
      </c>
      <c r="R378" s="53" t="s">
        <v>1362</v>
      </c>
      <c r="S378" s="54">
        <v>54</v>
      </c>
      <c r="T378" s="53" t="s">
        <v>1363</v>
      </c>
      <c r="U378" s="54">
        <v>31</v>
      </c>
    </row>
    <row r="379" spans="1:21" ht="54.75" customHeight="1" x14ac:dyDescent="0.25">
      <c r="A379" s="2" t="s">
        <v>1261</v>
      </c>
      <c r="B379" s="3" t="s">
        <v>1212</v>
      </c>
      <c r="C379" s="4">
        <v>2</v>
      </c>
      <c r="D379" s="4" t="s">
        <v>1213</v>
      </c>
      <c r="E379" s="3" t="s">
        <v>1214</v>
      </c>
      <c r="F379" s="3" t="s">
        <v>16</v>
      </c>
      <c r="G379" s="3" t="s">
        <v>29</v>
      </c>
      <c r="H379" s="3" t="s">
        <v>1375</v>
      </c>
      <c r="I379" s="4" t="s">
        <v>21</v>
      </c>
      <c r="J379" s="7">
        <v>3055</v>
      </c>
      <c r="K379" s="8">
        <v>4229</v>
      </c>
      <c r="L379" s="8">
        <v>2039</v>
      </c>
      <c r="M379" s="8">
        <v>365</v>
      </c>
      <c r="N379" s="11">
        <v>467</v>
      </c>
      <c r="O379" s="12">
        <v>45960</v>
      </c>
      <c r="P379" t="s">
        <v>1359</v>
      </c>
      <c r="R379" s="53" t="s">
        <v>1362</v>
      </c>
      <c r="S379" s="54">
        <v>54</v>
      </c>
      <c r="T379" s="53" t="s">
        <v>1363</v>
      </c>
      <c r="U379" s="54">
        <v>31</v>
      </c>
    </row>
    <row r="380" spans="1:21" ht="54.75" customHeight="1" x14ac:dyDescent="0.25">
      <c r="A380" s="2" t="s">
        <v>1262</v>
      </c>
      <c r="B380" s="3" t="s">
        <v>1250</v>
      </c>
      <c r="C380" s="4">
        <v>2</v>
      </c>
      <c r="D380" s="4" t="s">
        <v>1251</v>
      </c>
      <c r="E380" s="3" t="s">
        <v>1252</v>
      </c>
      <c r="F380" s="3" t="s">
        <v>40</v>
      </c>
      <c r="G380" s="3" t="s">
        <v>40</v>
      </c>
      <c r="H380" s="3" t="s">
        <v>1375</v>
      </c>
      <c r="I380" s="4" t="s">
        <v>21</v>
      </c>
      <c r="J380" s="7">
        <v>2820</v>
      </c>
      <c r="K380" s="8">
        <v>3160</v>
      </c>
      <c r="L380" s="8">
        <v>2445</v>
      </c>
      <c r="M380" s="8">
        <v>715</v>
      </c>
      <c r="N380" s="11">
        <v>0</v>
      </c>
      <c r="O380" s="12"/>
      <c r="P380" t="s">
        <v>1359</v>
      </c>
      <c r="R380" s="53" t="s">
        <v>1362</v>
      </c>
      <c r="S380" s="54">
        <v>54</v>
      </c>
      <c r="T380" s="53" t="s">
        <v>1363</v>
      </c>
      <c r="U380" s="54">
        <v>31</v>
      </c>
    </row>
    <row r="381" spans="1:21" ht="54.75" hidden="1" customHeight="1" x14ac:dyDescent="0.25">
      <c r="A381" s="2" t="s">
        <v>1263</v>
      </c>
      <c r="B381" s="3" t="s">
        <v>1264</v>
      </c>
      <c r="C381" s="4">
        <v>1</v>
      </c>
      <c r="D381" s="4" t="s">
        <v>1265</v>
      </c>
      <c r="E381" s="3" t="s">
        <v>1266</v>
      </c>
      <c r="F381" s="3" t="s">
        <v>40</v>
      </c>
      <c r="G381" s="3" t="s">
        <v>41</v>
      </c>
      <c r="H381" s="3" t="s">
        <v>1375</v>
      </c>
      <c r="I381" s="4" t="s">
        <v>21</v>
      </c>
      <c r="J381" s="7">
        <v>2707</v>
      </c>
      <c r="K381" s="8">
        <v>2986</v>
      </c>
      <c r="L381" s="8">
        <v>2986</v>
      </c>
      <c r="M381" s="8">
        <v>1325</v>
      </c>
      <c r="N381" s="11">
        <v>2986</v>
      </c>
      <c r="O381" s="12">
        <v>45960</v>
      </c>
      <c r="P381" s="2" t="s">
        <v>1358</v>
      </c>
      <c r="Q381" s="52">
        <v>772</v>
      </c>
      <c r="R381" s="53" t="s">
        <v>1362</v>
      </c>
      <c r="S381" s="54">
        <v>54</v>
      </c>
      <c r="T381" s="53" t="s">
        <v>1363</v>
      </c>
      <c r="U381" s="54">
        <v>31</v>
      </c>
    </row>
    <row r="382" spans="1:21" ht="54.75" hidden="1" customHeight="1" x14ac:dyDescent="0.25">
      <c r="A382" s="2" t="s">
        <v>1267</v>
      </c>
      <c r="B382" s="3" t="s">
        <v>1091</v>
      </c>
      <c r="C382" s="4">
        <v>3</v>
      </c>
      <c r="D382" s="4" t="s">
        <v>1092</v>
      </c>
      <c r="E382" s="3" t="s">
        <v>1093</v>
      </c>
      <c r="F382" s="3" t="s">
        <v>40</v>
      </c>
      <c r="G382" s="3" t="s">
        <v>35</v>
      </c>
      <c r="H382" s="3" t="s">
        <v>1375</v>
      </c>
      <c r="I382" s="4" t="s">
        <v>21</v>
      </c>
      <c r="J382" s="7">
        <v>2661</v>
      </c>
      <c r="K382" s="8">
        <v>3543</v>
      </c>
      <c r="L382" s="8">
        <v>1163</v>
      </c>
      <c r="M382" s="8">
        <v>340</v>
      </c>
      <c r="N382" s="11">
        <v>411</v>
      </c>
      <c r="O382" s="12">
        <v>45960</v>
      </c>
      <c r="P382" s="2" t="s">
        <v>1361</v>
      </c>
      <c r="Q382" s="52">
        <v>732</v>
      </c>
      <c r="R382" s="53" t="s">
        <v>1362</v>
      </c>
      <c r="S382" s="54">
        <v>54</v>
      </c>
      <c r="T382" s="53" t="s">
        <v>1363</v>
      </c>
      <c r="U382" s="54">
        <v>31</v>
      </c>
    </row>
    <row r="383" spans="1:21" ht="54.75" hidden="1" customHeight="1" x14ac:dyDescent="0.25">
      <c r="A383" s="2" t="s">
        <v>1268</v>
      </c>
      <c r="B383" s="3" t="s">
        <v>1269</v>
      </c>
      <c r="C383" s="4">
        <v>3</v>
      </c>
      <c r="D383" s="4" t="s">
        <v>1270</v>
      </c>
      <c r="E383" s="3" t="s">
        <v>1271</v>
      </c>
      <c r="F383" s="3" t="s">
        <v>29</v>
      </c>
      <c r="G383" s="3" t="s">
        <v>29</v>
      </c>
      <c r="H383" s="3" t="s">
        <v>1375</v>
      </c>
      <c r="I383" s="4" t="s">
        <v>21</v>
      </c>
      <c r="J383" s="7">
        <v>2642</v>
      </c>
      <c r="K383" s="8">
        <v>3006</v>
      </c>
      <c r="L383" s="8">
        <v>3006</v>
      </c>
      <c r="M383" s="8">
        <v>770</v>
      </c>
      <c r="N383" s="11">
        <v>0</v>
      </c>
      <c r="O383" s="12"/>
      <c r="P383" s="2" t="s">
        <v>1360</v>
      </c>
      <c r="Q383" s="52">
        <v>763</v>
      </c>
      <c r="R383" s="53" t="s">
        <v>1362</v>
      </c>
      <c r="S383" s="54">
        <v>54</v>
      </c>
      <c r="T383" s="53" t="s">
        <v>1363</v>
      </c>
      <c r="U383" s="54">
        <v>31</v>
      </c>
    </row>
    <row r="384" spans="1:21" ht="54.75" hidden="1" customHeight="1" x14ac:dyDescent="0.25">
      <c r="A384" s="2" t="s">
        <v>1272</v>
      </c>
      <c r="B384" s="3" t="s">
        <v>1273</v>
      </c>
      <c r="C384" s="4">
        <v>1</v>
      </c>
      <c r="D384" s="4" t="s">
        <v>1274</v>
      </c>
      <c r="E384" s="3" t="s">
        <v>1275</v>
      </c>
      <c r="F384" s="3" t="s">
        <v>43</v>
      </c>
      <c r="G384" s="3" t="s">
        <v>43</v>
      </c>
      <c r="H384" s="3" t="s">
        <v>1375</v>
      </c>
      <c r="I384" s="4" t="s">
        <v>21</v>
      </c>
      <c r="J384" s="7">
        <v>2550</v>
      </c>
      <c r="K384" s="8">
        <v>3556</v>
      </c>
      <c r="L384" s="8">
        <v>2316</v>
      </c>
      <c r="M384" s="8">
        <v>310</v>
      </c>
      <c r="N384" s="11">
        <v>0</v>
      </c>
      <c r="O384" s="12"/>
      <c r="P384" s="2" t="s">
        <v>1360</v>
      </c>
      <c r="Q384" s="52">
        <v>763</v>
      </c>
      <c r="R384" s="53" t="s">
        <v>1362</v>
      </c>
      <c r="S384" s="54">
        <v>54</v>
      </c>
      <c r="T384" s="53" t="s">
        <v>1363</v>
      </c>
      <c r="U384" s="54">
        <v>31</v>
      </c>
    </row>
    <row r="385" spans="1:21" ht="54.75" hidden="1" customHeight="1" x14ac:dyDescent="0.25">
      <c r="A385" s="2" t="s">
        <v>1276</v>
      </c>
      <c r="B385" s="3" t="s">
        <v>399</v>
      </c>
      <c r="C385" s="4">
        <v>2</v>
      </c>
      <c r="D385" s="4" t="s">
        <v>400</v>
      </c>
      <c r="E385" s="3" t="s">
        <v>401</v>
      </c>
      <c r="F385" s="3" t="s">
        <v>11</v>
      </c>
      <c r="G385" s="3" t="s">
        <v>11</v>
      </c>
      <c r="H385" s="3" t="s">
        <v>1381</v>
      </c>
      <c r="I385" s="4" t="s">
        <v>21</v>
      </c>
      <c r="J385" s="7">
        <v>2350</v>
      </c>
      <c r="K385" s="8">
        <v>4173</v>
      </c>
      <c r="L385" s="8">
        <v>1703</v>
      </c>
      <c r="M385" s="8">
        <v>190</v>
      </c>
      <c r="N385" s="11">
        <v>0</v>
      </c>
      <c r="O385" s="12"/>
      <c r="P385" s="2" t="s">
        <v>1360</v>
      </c>
      <c r="Q385" s="52">
        <v>763</v>
      </c>
      <c r="R385" s="53" t="s">
        <v>1362</v>
      </c>
      <c r="S385" s="54">
        <v>54</v>
      </c>
      <c r="T385" s="53" t="s">
        <v>1363</v>
      </c>
      <c r="U385" s="54">
        <v>31</v>
      </c>
    </row>
    <row r="386" spans="1:21" ht="54.75" hidden="1" customHeight="1" x14ac:dyDescent="0.25">
      <c r="A386" s="2" t="s">
        <v>1277</v>
      </c>
      <c r="B386" s="3" t="s">
        <v>162</v>
      </c>
      <c r="C386" s="4">
        <v>2</v>
      </c>
      <c r="D386" s="4" t="s">
        <v>163</v>
      </c>
      <c r="E386" s="3" t="s">
        <v>164</v>
      </c>
      <c r="F386" s="3" t="s">
        <v>40</v>
      </c>
      <c r="G386" s="3" t="s">
        <v>40</v>
      </c>
      <c r="H386" s="3" t="s">
        <v>1375</v>
      </c>
      <c r="I386" s="4" t="s">
        <v>21</v>
      </c>
      <c r="J386" s="7">
        <v>2345</v>
      </c>
      <c r="K386" s="8">
        <v>2999</v>
      </c>
      <c r="L386" s="8">
        <v>989</v>
      </c>
      <c r="M386" s="8">
        <v>335</v>
      </c>
      <c r="N386" s="11">
        <v>0</v>
      </c>
      <c r="O386" s="12"/>
      <c r="P386" s="2" t="s">
        <v>1361</v>
      </c>
      <c r="Q386" s="52">
        <v>732</v>
      </c>
      <c r="R386" s="53" t="s">
        <v>1362</v>
      </c>
      <c r="S386" s="54">
        <v>54</v>
      </c>
      <c r="T386" s="53" t="s">
        <v>1363</v>
      </c>
      <c r="U386" s="54">
        <v>31</v>
      </c>
    </row>
    <row r="387" spans="1:21" ht="54.75" hidden="1" customHeight="1" x14ac:dyDescent="0.25">
      <c r="A387" s="2" t="s">
        <v>1278</v>
      </c>
      <c r="B387" s="3" t="s">
        <v>1192</v>
      </c>
      <c r="C387" s="4">
        <v>2</v>
      </c>
      <c r="D387" s="4" t="s">
        <v>1193</v>
      </c>
      <c r="E387" s="3" t="s">
        <v>1194</v>
      </c>
      <c r="F387" s="3" t="s">
        <v>11</v>
      </c>
      <c r="G387" s="3" t="s">
        <v>11</v>
      </c>
      <c r="H387" s="3" t="s">
        <v>1381</v>
      </c>
      <c r="I387" s="4" t="s">
        <v>21</v>
      </c>
      <c r="J387" s="7">
        <v>2302</v>
      </c>
      <c r="K387" s="8">
        <v>3869</v>
      </c>
      <c r="L387" s="8">
        <v>1529</v>
      </c>
      <c r="M387" s="8">
        <v>195</v>
      </c>
      <c r="N387" s="11">
        <v>0</v>
      </c>
      <c r="O387" s="12"/>
      <c r="P387" s="2" t="s">
        <v>1360</v>
      </c>
      <c r="Q387" s="52">
        <v>763</v>
      </c>
      <c r="R387" s="53" t="s">
        <v>1362</v>
      </c>
      <c r="S387" s="54">
        <v>54</v>
      </c>
      <c r="T387" s="53" t="s">
        <v>1363</v>
      </c>
      <c r="U387" s="54">
        <v>31</v>
      </c>
    </row>
    <row r="388" spans="1:21" ht="54.75" hidden="1" customHeight="1" x14ac:dyDescent="0.25">
      <c r="A388" s="2" t="s">
        <v>1279</v>
      </c>
      <c r="B388" s="3" t="s">
        <v>1043</v>
      </c>
      <c r="C388" s="4">
        <v>3</v>
      </c>
      <c r="D388" s="4" t="s">
        <v>1044</v>
      </c>
      <c r="E388" s="3" t="s">
        <v>1045</v>
      </c>
      <c r="F388" s="3" t="s">
        <v>29</v>
      </c>
      <c r="G388" s="3" t="s">
        <v>40</v>
      </c>
      <c r="H388" s="3" t="s">
        <v>1375</v>
      </c>
      <c r="I388" s="4" t="s">
        <v>21</v>
      </c>
      <c r="J388" s="7">
        <v>2250</v>
      </c>
      <c r="K388" s="8">
        <v>2566</v>
      </c>
      <c r="L388" s="8">
        <v>2116</v>
      </c>
      <c r="M388" s="8">
        <v>450</v>
      </c>
      <c r="N388" s="11">
        <v>576</v>
      </c>
      <c r="O388" s="12">
        <v>45937</v>
      </c>
      <c r="P388" s="2" t="s">
        <v>1358</v>
      </c>
      <c r="Q388" s="52">
        <v>772</v>
      </c>
      <c r="R388" s="53" t="s">
        <v>1362</v>
      </c>
      <c r="S388" s="54">
        <v>54</v>
      </c>
      <c r="T388" s="53" t="s">
        <v>1363</v>
      </c>
      <c r="U388" s="54">
        <v>31</v>
      </c>
    </row>
    <row r="389" spans="1:21" ht="54.75" hidden="1" customHeight="1" x14ac:dyDescent="0.25">
      <c r="A389" s="2" t="s">
        <v>1280</v>
      </c>
      <c r="B389" s="3" t="s">
        <v>1026</v>
      </c>
      <c r="C389" s="4">
        <v>3</v>
      </c>
      <c r="D389" s="4" t="s">
        <v>1027</v>
      </c>
      <c r="E389" s="3" t="s">
        <v>1028</v>
      </c>
      <c r="F389" s="3" t="s">
        <v>40</v>
      </c>
      <c r="G389" s="3" t="s">
        <v>139</v>
      </c>
      <c r="H389" s="3" t="s">
        <v>1375</v>
      </c>
      <c r="I389" s="4" t="s">
        <v>21</v>
      </c>
      <c r="J389" s="7">
        <v>2229</v>
      </c>
      <c r="K389" s="8">
        <v>2372</v>
      </c>
      <c r="L389" s="8">
        <v>1787</v>
      </c>
      <c r="M389" s="8">
        <v>585</v>
      </c>
      <c r="N389" s="11">
        <v>1161</v>
      </c>
      <c r="O389" s="12">
        <v>45941</v>
      </c>
      <c r="P389" s="2" t="s">
        <v>1358</v>
      </c>
      <c r="Q389" s="52">
        <v>772</v>
      </c>
      <c r="R389" s="53" t="s">
        <v>1362</v>
      </c>
      <c r="S389" s="54">
        <v>54</v>
      </c>
      <c r="T389" s="53" t="s">
        <v>1363</v>
      </c>
      <c r="U389" s="54">
        <v>31</v>
      </c>
    </row>
    <row r="390" spans="1:21" ht="54.75" hidden="1" customHeight="1" x14ac:dyDescent="0.25">
      <c r="A390" s="2" t="s">
        <v>1281</v>
      </c>
      <c r="B390" s="3" t="s">
        <v>1282</v>
      </c>
      <c r="C390" s="4">
        <v>2</v>
      </c>
      <c r="D390" s="4" t="s">
        <v>1283</v>
      </c>
      <c r="E390" s="3" t="s">
        <v>1284</v>
      </c>
      <c r="F390" s="3" t="s">
        <v>43</v>
      </c>
      <c r="G390" s="3" t="s">
        <v>43</v>
      </c>
      <c r="H390" s="3" t="s">
        <v>1375</v>
      </c>
      <c r="I390" s="4" t="s">
        <v>21</v>
      </c>
      <c r="J390" s="7">
        <v>2215</v>
      </c>
      <c r="K390" s="8">
        <v>3283</v>
      </c>
      <c r="L390" s="8">
        <v>3283</v>
      </c>
      <c r="M390" s="8">
        <v>1185</v>
      </c>
      <c r="N390" s="11">
        <v>0</v>
      </c>
      <c r="O390" s="12"/>
      <c r="P390" s="2" t="s">
        <v>1360</v>
      </c>
      <c r="Q390" s="52">
        <v>763</v>
      </c>
      <c r="R390" s="53" t="s">
        <v>1362</v>
      </c>
      <c r="S390" s="54">
        <v>54</v>
      </c>
      <c r="T390" s="53" t="s">
        <v>1363</v>
      </c>
      <c r="U390" s="54">
        <v>31</v>
      </c>
    </row>
    <row r="391" spans="1:21" ht="54.75" hidden="1" customHeight="1" x14ac:dyDescent="0.25">
      <c r="A391" s="2" t="s">
        <v>1285</v>
      </c>
      <c r="B391" s="3" t="s">
        <v>334</v>
      </c>
      <c r="C391" s="4">
        <v>2</v>
      </c>
      <c r="D391" s="4" t="s">
        <v>335</v>
      </c>
      <c r="E391" s="3" t="s">
        <v>336</v>
      </c>
      <c r="F391" s="3" t="s">
        <v>16</v>
      </c>
      <c r="G391" s="3" t="s">
        <v>16</v>
      </c>
      <c r="H391" s="3" t="s">
        <v>1375</v>
      </c>
      <c r="I391" s="4" t="s">
        <v>21</v>
      </c>
      <c r="J391" s="7">
        <v>2197</v>
      </c>
      <c r="K391" s="8">
        <v>3140</v>
      </c>
      <c r="L391" s="8">
        <v>2360</v>
      </c>
      <c r="M391" s="8">
        <v>390</v>
      </c>
      <c r="N391" s="11">
        <v>0</v>
      </c>
      <c r="O391" s="12"/>
      <c r="P391" s="2" t="s">
        <v>1358</v>
      </c>
      <c r="Q391" s="52">
        <v>772</v>
      </c>
      <c r="R391" s="53" t="s">
        <v>1362</v>
      </c>
      <c r="S391" s="54">
        <v>54</v>
      </c>
      <c r="T391" s="53" t="s">
        <v>1363</v>
      </c>
      <c r="U391" s="54">
        <v>31</v>
      </c>
    </row>
    <row r="392" spans="1:21" ht="54.75" hidden="1" customHeight="1" x14ac:dyDescent="0.25">
      <c r="A392" s="2" t="s">
        <v>1286</v>
      </c>
      <c r="B392" s="3" t="s">
        <v>897</v>
      </c>
      <c r="C392" s="4">
        <v>6</v>
      </c>
      <c r="D392" s="4" t="s">
        <v>898</v>
      </c>
      <c r="E392" s="3" t="s">
        <v>899</v>
      </c>
      <c r="F392" s="3" t="s">
        <v>29</v>
      </c>
      <c r="G392" s="3" t="s">
        <v>29</v>
      </c>
      <c r="H392" s="3" t="s">
        <v>1375</v>
      </c>
      <c r="I392" s="4" t="s">
        <v>21</v>
      </c>
      <c r="J392" s="7">
        <v>2150</v>
      </c>
      <c r="K392" s="8">
        <v>2848</v>
      </c>
      <c r="L392" s="8">
        <v>1998</v>
      </c>
      <c r="M392" s="8">
        <v>425</v>
      </c>
      <c r="N392" s="11">
        <v>0</v>
      </c>
      <c r="O392" s="12"/>
      <c r="P392" s="2" t="s">
        <v>1358</v>
      </c>
      <c r="Q392" s="52">
        <v>772</v>
      </c>
      <c r="R392" s="53" t="s">
        <v>1362</v>
      </c>
      <c r="S392" s="54">
        <v>54</v>
      </c>
      <c r="T392" s="53" t="s">
        <v>1363</v>
      </c>
      <c r="U392" s="54">
        <v>31</v>
      </c>
    </row>
    <row r="393" spans="1:21" ht="54.75" hidden="1" customHeight="1" x14ac:dyDescent="0.25">
      <c r="A393" s="2" t="s">
        <v>1287</v>
      </c>
      <c r="B393" s="3" t="s">
        <v>1061</v>
      </c>
      <c r="C393" s="4">
        <v>2</v>
      </c>
      <c r="D393" s="4" t="s">
        <v>1062</v>
      </c>
      <c r="E393" s="3" t="s">
        <v>1063</v>
      </c>
      <c r="F393" s="3" t="s">
        <v>35</v>
      </c>
      <c r="G393" s="3" t="s">
        <v>139</v>
      </c>
      <c r="H393" s="3" t="s">
        <v>1375</v>
      </c>
      <c r="I393" s="4" t="s">
        <v>21</v>
      </c>
      <c r="J393" s="7">
        <v>2055</v>
      </c>
      <c r="K393" s="8">
        <v>3055</v>
      </c>
      <c r="L393" s="8">
        <v>475</v>
      </c>
      <c r="M393" s="8">
        <v>215</v>
      </c>
      <c r="N393" s="11">
        <v>0</v>
      </c>
      <c r="O393" s="12"/>
      <c r="P393" s="2" t="s">
        <v>1360</v>
      </c>
      <c r="Q393" s="52">
        <v>763</v>
      </c>
      <c r="R393" s="53" t="s">
        <v>1362</v>
      </c>
      <c r="S393" s="54">
        <v>54</v>
      </c>
      <c r="T393" s="53" t="s">
        <v>1363</v>
      </c>
      <c r="U393" s="54">
        <v>31</v>
      </c>
    </row>
    <row r="394" spans="1:21" ht="54.75" hidden="1" customHeight="1" x14ac:dyDescent="0.25">
      <c r="A394" s="2" t="s">
        <v>1288</v>
      </c>
      <c r="B394" s="3" t="s">
        <v>1289</v>
      </c>
      <c r="C394" s="4">
        <v>4</v>
      </c>
      <c r="D394" s="4" t="s">
        <v>1290</v>
      </c>
      <c r="E394" s="3" t="s">
        <v>1291</v>
      </c>
      <c r="F394" s="3" t="s">
        <v>29</v>
      </c>
      <c r="G394" s="3" t="s">
        <v>41</v>
      </c>
      <c r="H394" s="3" t="s">
        <v>1375</v>
      </c>
      <c r="I394" s="4" t="s">
        <v>21</v>
      </c>
      <c r="J394" s="7">
        <v>2005</v>
      </c>
      <c r="K394" s="8">
        <v>2714</v>
      </c>
      <c r="L394" s="8">
        <v>2714</v>
      </c>
      <c r="M394" s="8">
        <v>1090</v>
      </c>
      <c r="N394" s="11">
        <v>2714</v>
      </c>
      <c r="O394" s="12">
        <v>45961</v>
      </c>
      <c r="P394" s="2" t="s">
        <v>1361</v>
      </c>
      <c r="Q394" s="52">
        <v>732</v>
      </c>
      <c r="R394" s="53" t="s">
        <v>1362</v>
      </c>
      <c r="S394" s="54">
        <v>54</v>
      </c>
      <c r="T394" s="53" t="s">
        <v>1363</v>
      </c>
      <c r="U394" s="54">
        <v>31</v>
      </c>
    </row>
    <row r="395" spans="1:21" ht="54.75" hidden="1" customHeight="1" x14ac:dyDescent="0.25">
      <c r="A395" s="2" t="s">
        <v>1292</v>
      </c>
      <c r="B395" s="3" t="s">
        <v>1289</v>
      </c>
      <c r="C395" s="4">
        <v>4</v>
      </c>
      <c r="D395" s="4" t="s">
        <v>1290</v>
      </c>
      <c r="E395" s="3" t="s">
        <v>1291</v>
      </c>
      <c r="F395" s="3" t="s">
        <v>29</v>
      </c>
      <c r="G395" s="3" t="s">
        <v>41</v>
      </c>
      <c r="H395" s="3" t="s">
        <v>1375</v>
      </c>
      <c r="I395" s="4" t="s">
        <v>21</v>
      </c>
      <c r="J395" s="7">
        <v>2005</v>
      </c>
      <c r="K395" s="8">
        <v>2714</v>
      </c>
      <c r="L395" s="8">
        <v>2714</v>
      </c>
      <c r="M395" s="8">
        <v>1090</v>
      </c>
      <c r="N395" s="11">
        <v>2714</v>
      </c>
      <c r="O395" s="12">
        <v>45961</v>
      </c>
      <c r="P395" s="2" t="s">
        <v>1361</v>
      </c>
      <c r="Q395" s="52">
        <v>732</v>
      </c>
      <c r="R395" s="53" t="s">
        <v>1362</v>
      </c>
      <c r="S395" s="54">
        <v>54</v>
      </c>
      <c r="T395" s="53" t="s">
        <v>1363</v>
      </c>
      <c r="U395" s="54">
        <v>31</v>
      </c>
    </row>
    <row r="396" spans="1:21" ht="54.75" hidden="1" customHeight="1" x14ac:dyDescent="0.25">
      <c r="A396" s="2" t="s">
        <v>1293</v>
      </c>
      <c r="B396" s="3" t="s">
        <v>1289</v>
      </c>
      <c r="C396" s="4">
        <v>4</v>
      </c>
      <c r="D396" s="4" t="s">
        <v>1290</v>
      </c>
      <c r="E396" s="3" t="s">
        <v>1291</v>
      </c>
      <c r="F396" s="3" t="s">
        <v>29</v>
      </c>
      <c r="G396" s="3" t="s">
        <v>41</v>
      </c>
      <c r="H396" s="3" t="s">
        <v>1375</v>
      </c>
      <c r="I396" s="4" t="s">
        <v>21</v>
      </c>
      <c r="J396" s="7">
        <v>2005</v>
      </c>
      <c r="K396" s="8">
        <v>2714</v>
      </c>
      <c r="L396" s="8">
        <v>2714</v>
      </c>
      <c r="M396" s="8">
        <v>1090</v>
      </c>
      <c r="N396" s="11">
        <v>2714</v>
      </c>
      <c r="O396" s="12">
        <v>45961</v>
      </c>
      <c r="P396" s="2" t="s">
        <v>1361</v>
      </c>
      <c r="Q396" s="52">
        <v>732</v>
      </c>
      <c r="R396" s="53" t="s">
        <v>1362</v>
      </c>
      <c r="S396" s="54">
        <v>54</v>
      </c>
      <c r="T396" s="53" t="s">
        <v>1363</v>
      </c>
      <c r="U396" s="54">
        <v>31</v>
      </c>
    </row>
    <row r="397" spans="1:21" ht="54.75" customHeight="1" x14ac:dyDescent="0.25">
      <c r="A397" s="2" t="s">
        <v>1294</v>
      </c>
      <c r="B397" s="3" t="s">
        <v>1295</v>
      </c>
      <c r="C397" s="4">
        <v>1</v>
      </c>
      <c r="D397" s="4" t="s">
        <v>1296</v>
      </c>
      <c r="E397" s="3" t="s">
        <v>1297</v>
      </c>
      <c r="F397" s="3" t="s">
        <v>29</v>
      </c>
      <c r="G397" s="3" t="s">
        <v>41</v>
      </c>
      <c r="H397" s="3" t="s">
        <v>1375</v>
      </c>
      <c r="I397" s="4" t="s">
        <v>21</v>
      </c>
      <c r="J397" s="7">
        <v>1975</v>
      </c>
      <c r="K397" s="8">
        <v>2468</v>
      </c>
      <c r="L397" s="8">
        <v>1448</v>
      </c>
      <c r="M397" s="8">
        <v>340</v>
      </c>
      <c r="N397" s="11">
        <v>1448</v>
      </c>
      <c r="O397" s="12">
        <v>45959</v>
      </c>
      <c r="P397" t="s">
        <v>1359</v>
      </c>
      <c r="R397" s="53" t="s">
        <v>1362</v>
      </c>
      <c r="S397" s="54">
        <v>54</v>
      </c>
      <c r="T397" s="53" t="s">
        <v>1363</v>
      </c>
      <c r="U397" s="54">
        <v>31</v>
      </c>
    </row>
    <row r="398" spans="1:21" ht="54.75" hidden="1" customHeight="1" x14ac:dyDescent="0.25">
      <c r="A398" s="2" t="s">
        <v>1298</v>
      </c>
      <c r="B398" s="3" t="s">
        <v>1269</v>
      </c>
      <c r="C398" s="4">
        <v>3</v>
      </c>
      <c r="D398" s="4" t="s">
        <v>1270</v>
      </c>
      <c r="E398" s="3" t="s">
        <v>1271</v>
      </c>
      <c r="F398" s="3" t="s">
        <v>29</v>
      </c>
      <c r="G398" s="3" t="s">
        <v>29</v>
      </c>
      <c r="H398" s="3" t="s">
        <v>1375</v>
      </c>
      <c r="I398" s="4" t="s">
        <v>21</v>
      </c>
      <c r="J398" s="7">
        <v>1900</v>
      </c>
      <c r="K398" s="8">
        <v>2233</v>
      </c>
      <c r="L398" s="8">
        <v>2233</v>
      </c>
      <c r="M398" s="8">
        <v>475</v>
      </c>
      <c r="N398" s="11">
        <v>0</v>
      </c>
      <c r="O398" s="12"/>
      <c r="P398" s="2" t="s">
        <v>1360</v>
      </c>
      <c r="Q398" s="52">
        <v>763</v>
      </c>
      <c r="R398" s="53" t="s">
        <v>1362</v>
      </c>
      <c r="S398" s="54">
        <v>54</v>
      </c>
      <c r="T398" s="53" t="s">
        <v>1363</v>
      </c>
      <c r="U398" s="54">
        <v>31</v>
      </c>
    </row>
    <row r="399" spans="1:21" ht="54.75" hidden="1" customHeight="1" x14ac:dyDescent="0.25">
      <c r="A399" s="2" t="s">
        <v>1299</v>
      </c>
      <c r="B399" s="3" t="s">
        <v>461</v>
      </c>
      <c r="C399" s="4">
        <v>6</v>
      </c>
      <c r="D399" s="4" t="s">
        <v>462</v>
      </c>
      <c r="E399" s="3" t="s">
        <v>463</v>
      </c>
      <c r="F399" s="3" t="s">
        <v>40</v>
      </c>
      <c r="G399" s="3" t="s">
        <v>139</v>
      </c>
      <c r="H399" s="3" t="s">
        <v>1375</v>
      </c>
      <c r="I399" s="4" t="s">
        <v>21</v>
      </c>
      <c r="J399" s="7">
        <v>1885</v>
      </c>
      <c r="K399" s="8">
        <v>2185</v>
      </c>
      <c r="L399" s="8">
        <v>1245</v>
      </c>
      <c r="M399" s="8">
        <v>470</v>
      </c>
      <c r="N399" s="11">
        <v>742</v>
      </c>
      <c r="O399" s="12">
        <v>45941</v>
      </c>
      <c r="P399" s="2" t="s">
        <v>1361</v>
      </c>
      <c r="Q399" s="52">
        <v>732</v>
      </c>
      <c r="R399" s="53" t="s">
        <v>1362</v>
      </c>
      <c r="S399" s="54">
        <v>54</v>
      </c>
      <c r="T399" s="53" t="s">
        <v>1363</v>
      </c>
      <c r="U399" s="54">
        <v>31</v>
      </c>
    </row>
    <row r="400" spans="1:21" ht="54.75" hidden="1" customHeight="1" x14ac:dyDescent="0.25">
      <c r="A400" s="2" t="s">
        <v>1300</v>
      </c>
      <c r="B400" s="3" t="s">
        <v>897</v>
      </c>
      <c r="C400" s="4">
        <v>6</v>
      </c>
      <c r="D400" s="4" t="s">
        <v>898</v>
      </c>
      <c r="E400" s="3" t="s">
        <v>899</v>
      </c>
      <c r="F400" s="3" t="s">
        <v>16</v>
      </c>
      <c r="G400" s="3" t="s">
        <v>16</v>
      </c>
      <c r="H400" s="3" t="s">
        <v>1375</v>
      </c>
      <c r="I400" s="4" t="s">
        <v>21</v>
      </c>
      <c r="J400" s="7">
        <v>1820</v>
      </c>
      <c r="K400" s="8">
        <v>2765</v>
      </c>
      <c r="L400" s="8">
        <v>1260</v>
      </c>
      <c r="M400" s="8">
        <v>215</v>
      </c>
      <c r="N400" s="11">
        <v>0</v>
      </c>
      <c r="O400" s="12"/>
      <c r="P400" s="2" t="s">
        <v>1358</v>
      </c>
      <c r="Q400" s="52">
        <v>772</v>
      </c>
      <c r="R400" s="53" t="s">
        <v>1362</v>
      </c>
      <c r="S400" s="54">
        <v>54</v>
      </c>
      <c r="T400" s="53" t="s">
        <v>1363</v>
      </c>
      <c r="U400" s="54">
        <v>31</v>
      </c>
    </row>
    <row r="401" spans="1:21" ht="54.75" hidden="1" customHeight="1" x14ac:dyDescent="0.25">
      <c r="A401" s="2" t="s">
        <v>1301</v>
      </c>
      <c r="B401" s="3" t="s">
        <v>1302</v>
      </c>
      <c r="C401" s="4">
        <v>1</v>
      </c>
      <c r="D401" s="4" t="s">
        <v>1303</v>
      </c>
      <c r="E401" s="3" t="s">
        <v>1304</v>
      </c>
      <c r="F401" s="3" t="s">
        <v>29</v>
      </c>
      <c r="G401" s="3" t="s">
        <v>41</v>
      </c>
      <c r="H401" s="3" t="s">
        <v>1375</v>
      </c>
      <c r="I401" s="4" t="s">
        <v>21</v>
      </c>
      <c r="J401" s="7">
        <v>1775</v>
      </c>
      <c r="K401" s="8">
        <v>2248</v>
      </c>
      <c r="L401" s="8">
        <v>2248</v>
      </c>
      <c r="M401" s="8">
        <v>940</v>
      </c>
      <c r="N401" s="11">
        <v>2248</v>
      </c>
      <c r="O401" s="12">
        <v>45956</v>
      </c>
      <c r="P401" s="2" t="s">
        <v>1361</v>
      </c>
      <c r="Q401" s="52">
        <v>732</v>
      </c>
      <c r="R401" s="53" t="s">
        <v>1362</v>
      </c>
      <c r="S401" s="54">
        <v>54</v>
      </c>
      <c r="T401" s="53" t="s">
        <v>1363</v>
      </c>
      <c r="U401" s="54">
        <v>31</v>
      </c>
    </row>
    <row r="402" spans="1:21" ht="54.75" hidden="1" customHeight="1" x14ac:dyDescent="0.25">
      <c r="A402" s="2" t="s">
        <v>1305</v>
      </c>
      <c r="B402" s="3" t="s">
        <v>521</v>
      </c>
      <c r="C402" s="4">
        <v>2</v>
      </c>
      <c r="D402" s="4" t="s">
        <v>522</v>
      </c>
      <c r="E402" s="3" t="s">
        <v>523</v>
      </c>
      <c r="F402" s="3" t="s">
        <v>29</v>
      </c>
      <c r="G402" s="3" t="s">
        <v>29</v>
      </c>
      <c r="H402" s="3" t="s">
        <v>1375</v>
      </c>
      <c r="I402" s="4" t="s">
        <v>21</v>
      </c>
      <c r="J402" s="7">
        <v>1718</v>
      </c>
      <c r="K402" s="8">
        <v>2247</v>
      </c>
      <c r="L402" s="8">
        <v>947</v>
      </c>
      <c r="M402" s="8">
        <v>260</v>
      </c>
      <c r="N402" s="11">
        <v>0</v>
      </c>
      <c r="O402" s="12"/>
      <c r="P402" s="2" t="s">
        <v>1358</v>
      </c>
      <c r="Q402" s="52">
        <v>772</v>
      </c>
      <c r="R402" s="53" t="s">
        <v>1362</v>
      </c>
      <c r="S402" s="54">
        <v>54</v>
      </c>
      <c r="T402" s="53" t="s">
        <v>1363</v>
      </c>
      <c r="U402" s="54">
        <v>31</v>
      </c>
    </row>
    <row r="403" spans="1:21" ht="54.75" hidden="1" customHeight="1" x14ac:dyDescent="0.25">
      <c r="A403" s="2" t="s">
        <v>1306</v>
      </c>
      <c r="B403" s="3" t="s">
        <v>897</v>
      </c>
      <c r="C403" s="4">
        <v>6</v>
      </c>
      <c r="D403" s="4" t="s">
        <v>898</v>
      </c>
      <c r="E403" s="3" t="s">
        <v>899</v>
      </c>
      <c r="F403" s="3" t="s">
        <v>16</v>
      </c>
      <c r="G403" s="3" t="s">
        <v>16</v>
      </c>
      <c r="H403" s="3" t="s">
        <v>1375</v>
      </c>
      <c r="I403" s="4" t="s">
        <v>21</v>
      </c>
      <c r="J403" s="7">
        <v>1685</v>
      </c>
      <c r="K403" s="8">
        <v>2431</v>
      </c>
      <c r="L403" s="8">
        <v>1331</v>
      </c>
      <c r="M403" s="8">
        <v>220</v>
      </c>
      <c r="N403" s="11">
        <v>0</v>
      </c>
      <c r="O403" s="12"/>
      <c r="P403" s="2" t="s">
        <v>1358</v>
      </c>
      <c r="Q403" s="52">
        <v>772</v>
      </c>
      <c r="R403" s="53" t="s">
        <v>1362</v>
      </c>
      <c r="S403" s="54">
        <v>54</v>
      </c>
      <c r="T403" s="53" t="s">
        <v>1363</v>
      </c>
      <c r="U403" s="54">
        <v>31</v>
      </c>
    </row>
    <row r="404" spans="1:21" ht="54.75" hidden="1" customHeight="1" x14ac:dyDescent="0.25">
      <c r="A404" s="2" t="s">
        <v>1307</v>
      </c>
      <c r="B404" s="3" t="s">
        <v>1132</v>
      </c>
      <c r="C404" s="4">
        <v>2</v>
      </c>
      <c r="D404" s="4" t="s">
        <v>1133</v>
      </c>
      <c r="E404" s="3" t="s">
        <v>1134</v>
      </c>
      <c r="F404" s="3" t="s">
        <v>11</v>
      </c>
      <c r="G404" s="3" t="s">
        <v>11</v>
      </c>
      <c r="H404" s="3" t="s">
        <v>1381</v>
      </c>
      <c r="I404" s="4" t="s">
        <v>21</v>
      </c>
      <c r="J404" s="7">
        <v>1590</v>
      </c>
      <c r="K404" s="8">
        <v>2547</v>
      </c>
      <c r="L404" s="8">
        <v>2547</v>
      </c>
      <c r="M404" s="8">
        <v>875</v>
      </c>
      <c r="N404" s="11">
        <v>0</v>
      </c>
      <c r="O404" s="12"/>
      <c r="P404" s="2" t="s">
        <v>1360</v>
      </c>
      <c r="Q404" s="52">
        <v>763</v>
      </c>
      <c r="R404" s="53" t="s">
        <v>1362</v>
      </c>
      <c r="S404" s="54">
        <v>54</v>
      </c>
      <c r="T404" s="53" t="s">
        <v>1363</v>
      </c>
      <c r="U404" s="54">
        <v>31</v>
      </c>
    </row>
    <row r="405" spans="1:21" ht="54.75" customHeight="1" x14ac:dyDescent="0.25">
      <c r="A405" s="2" t="s">
        <v>1308</v>
      </c>
      <c r="B405" s="3" t="s">
        <v>1100</v>
      </c>
      <c r="C405" s="4">
        <v>3</v>
      </c>
      <c r="D405" s="4" t="s">
        <v>1101</v>
      </c>
      <c r="E405" s="3" t="s">
        <v>1102</v>
      </c>
      <c r="F405" s="3" t="s">
        <v>40</v>
      </c>
      <c r="G405" s="3" t="s">
        <v>41</v>
      </c>
      <c r="H405" s="3" t="s">
        <v>1375</v>
      </c>
      <c r="I405" s="4" t="s">
        <v>21</v>
      </c>
      <c r="J405" s="7">
        <v>1565</v>
      </c>
      <c r="K405" s="8">
        <v>1966</v>
      </c>
      <c r="L405" s="8">
        <v>1966</v>
      </c>
      <c r="M405" s="8">
        <v>1625</v>
      </c>
      <c r="N405" s="11">
        <v>1966</v>
      </c>
      <c r="O405" s="12">
        <v>45944</v>
      </c>
      <c r="P405" t="s">
        <v>1359</v>
      </c>
      <c r="R405" s="53" t="s">
        <v>1362</v>
      </c>
      <c r="S405" s="54">
        <v>54</v>
      </c>
      <c r="T405" s="53" t="s">
        <v>1363</v>
      </c>
      <c r="U405" s="54">
        <v>31</v>
      </c>
    </row>
    <row r="406" spans="1:21" ht="54.75" hidden="1" customHeight="1" x14ac:dyDescent="0.25">
      <c r="A406" s="2" t="s">
        <v>1309</v>
      </c>
      <c r="B406" s="3" t="s">
        <v>1310</v>
      </c>
      <c r="C406" s="4">
        <v>1</v>
      </c>
      <c r="D406" s="4" t="s">
        <v>1311</v>
      </c>
      <c r="E406" s="3" t="s">
        <v>1312</v>
      </c>
      <c r="F406" s="3" t="s">
        <v>40</v>
      </c>
      <c r="G406" s="3" t="s">
        <v>41</v>
      </c>
      <c r="H406" s="3" t="s">
        <v>1375</v>
      </c>
      <c r="I406" s="4" t="s">
        <v>21</v>
      </c>
      <c r="J406" s="7">
        <v>1425</v>
      </c>
      <c r="K406" s="8">
        <v>1809</v>
      </c>
      <c r="L406" s="8">
        <v>1809</v>
      </c>
      <c r="M406" s="8">
        <v>1495</v>
      </c>
      <c r="N406" s="11">
        <v>1809</v>
      </c>
      <c r="O406" s="12">
        <v>45941</v>
      </c>
      <c r="P406" s="2" t="s">
        <v>1358</v>
      </c>
      <c r="Q406" s="52">
        <v>772</v>
      </c>
      <c r="R406" s="53" t="s">
        <v>1362</v>
      </c>
      <c r="S406" s="54">
        <v>54</v>
      </c>
      <c r="T406" s="53" t="s">
        <v>1363</v>
      </c>
      <c r="U406" s="54">
        <v>31</v>
      </c>
    </row>
    <row r="407" spans="1:21" ht="54.75" hidden="1" customHeight="1" x14ac:dyDescent="0.25">
      <c r="A407" s="2" t="s">
        <v>1313</v>
      </c>
      <c r="B407" s="3" t="s">
        <v>580</v>
      </c>
      <c r="C407" s="4">
        <v>2</v>
      </c>
      <c r="D407" s="4" t="s">
        <v>581</v>
      </c>
      <c r="E407" s="3" t="s">
        <v>582</v>
      </c>
      <c r="F407" s="3" t="s">
        <v>40</v>
      </c>
      <c r="G407" s="3" t="s">
        <v>41</v>
      </c>
      <c r="H407" s="3" t="s">
        <v>1375</v>
      </c>
      <c r="I407" s="4" t="s">
        <v>21</v>
      </c>
      <c r="J407" s="7">
        <v>1380</v>
      </c>
      <c r="K407" s="8">
        <v>1762</v>
      </c>
      <c r="L407" s="8">
        <v>1112</v>
      </c>
      <c r="M407" s="8">
        <v>325</v>
      </c>
      <c r="N407" s="11">
        <v>1112</v>
      </c>
      <c r="O407" s="12">
        <v>45939</v>
      </c>
      <c r="P407" s="2" t="s">
        <v>1358</v>
      </c>
      <c r="Q407" s="52">
        <v>772</v>
      </c>
      <c r="R407" s="53" t="s">
        <v>1362</v>
      </c>
      <c r="S407" s="54">
        <v>54</v>
      </c>
      <c r="T407" s="53" t="s">
        <v>1363</v>
      </c>
      <c r="U407" s="54">
        <v>31</v>
      </c>
    </row>
    <row r="408" spans="1:21" ht="54.75" hidden="1" customHeight="1" x14ac:dyDescent="0.25">
      <c r="A408" s="2" t="s">
        <v>1314</v>
      </c>
      <c r="B408" s="3" t="s">
        <v>1315</v>
      </c>
      <c r="C408" s="4">
        <v>1</v>
      </c>
      <c r="D408" s="4" t="s">
        <v>1316</v>
      </c>
      <c r="E408" s="3" t="s">
        <v>1317</v>
      </c>
      <c r="F408" s="3" t="s">
        <v>16</v>
      </c>
      <c r="G408" s="3" t="s">
        <v>16</v>
      </c>
      <c r="H408" s="3" t="s">
        <v>1375</v>
      </c>
      <c r="I408" s="4" t="s">
        <v>21</v>
      </c>
      <c r="J408" s="7">
        <v>1360</v>
      </c>
      <c r="K408" s="8">
        <v>1904</v>
      </c>
      <c r="L408" s="8">
        <v>1904</v>
      </c>
      <c r="M408" s="8">
        <v>1410</v>
      </c>
      <c r="N408" s="11">
        <v>0</v>
      </c>
      <c r="O408" s="12"/>
      <c r="P408" s="2" t="s">
        <v>1360</v>
      </c>
      <c r="Q408" s="52">
        <v>763</v>
      </c>
      <c r="R408" s="53" t="s">
        <v>1362</v>
      </c>
      <c r="S408" s="54">
        <v>54</v>
      </c>
      <c r="T408" s="53" t="s">
        <v>1363</v>
      </c>
      <c r="U408" s="54">
        <v>31</v>
      </c>
    </row>
    <row r="409" spans="1:21" ht="54.75" hidden="1" customHeight="1" x14ac:dyDescent="0.25">
      <c r="A409" s="2" t="s">
        <v>1318</v>
      </c>
      <c r="B409" s="3" t="s">
        <v>1282</v>
      </c>
      <c r="C409" s="4">
        <v>2</v>
      </c>
      <c r="D409" s="4" t="s">
        <v>1283</v>
      </c>
      <c r="E409" s="3" t="s">
        <v>1284</v>
      </c>
      <c r="F409" s="3" t="s">
        <v>43</v>
      </c>
      <c r="G409" s="3" t="s">
        <v>43</v>
      </c>
      <c r="H409" s="3" t="s">
        <v>1375</v>
      </c>
      <c r="I409" s="4" t="s">
        <v>21</v>
      </c>
      <c r="J409" s="7">
        <v>1261</v>
      </c>
      <c r="K409" s="8">
        <v>1735</v>
      </c>
      <c r="L409" s="8">
        <v>1735</v>
      </c>
      <c r="M409" s="8">
        <v>1040</v>
      </c>
      <c r="N409" s="11">
        <v>0</v>
      </c>
      <c r="O409" s="12"/>
      <c r="P409" s="2" t="s">
        <v>1360</v>
      </c>
      <c r="Q409" s="52">
        <v>763</v>
      </c>
      <c r="R409" s="53" t="s">
        <v>1362</v>
      </c>
      <c r="S409" s="54">
        <v>54</v>
      </c>
      <c r="T409" s="53" t="s">
        <v>1363</v>
      </c>
      <c r="U409" s="54">
        <v>31</v>
      </c>
    </row>
    <row r="410" spans="1:21" ht="54.75" hidden="1" customHeight="1" x14ac:dyDescent="0.25">
      <c r="A410" s="2" t="s">
        <v>1319</v>
      </c>
      <c r="B410" s="3" t="s">
        <v>897</v>
      </c>
      <c r="C410" s="4">
        <v>6</v>
      </c>
      <c r="D410" s="4" t="s">
        <v>898</v>
      </c>
      <c r="E410" s="3" t="s">
        <v>899</v>
      </c>
      <c r="F410" s="3" t="s">
        <v>16</v>
      </c>
      <c r="G410" s="3" t="s">
        <v>16</v>
      </c>
      <c r="H410" s="3" t="s">
        <v>1375</v>
      </c>
      <c r="I410" s="4" t="s">
        <v>21</v>
      </c>
      <c r="J410" s="7">
        <v>1245</v>
      </c>
      <c r="K410" s="8">
        <v>1798</v>
      </c>
      <c r="L410" s="8">
        <v>1543</v>
      </c>
      <c r="M410" s="8">
        <v>255</v>
      </c>
      <c r="N410" s="11">
        <v>0</v>
      </c>
      <c r="O410" s="12"/>
      <c r="P410" s="2" t="s">
        <v>1358</v>
      </c>
      <c r="Q410" s="52">
        <v>772</v>
      </c>
      <c r="R410" s="53" t="s">
        <v>1362</v>
      </c>
      <c r="S410" s="54">
        <v>54</v>
      </c>
      <c r="T410" s="53" t="s">
        <v>1363</v>
      </c>
      <c r="U410" s="54">
        <v>31</v>
      </c>
    </row>
    <row r="411" spans="1:21" ht="54.75" hidden="1" customHeight="1" x14ac:dyDescent="0.25">
      <c r="A411" s="2" t="s">
        <v>1320</v>
      </c>
      <c r="B411" s="3" t="s">
        <v>1254</v>
      </c>
      <c r="C411" s="4">
        <v>2</v>
      </c>
      <c r="D411" s="4" t="s">
        <v>1255</v>
      </c>
      <c r="E411" s="3" t="s">
        <v>1256</v>
      </c>
      <c r="F411" s="3" t="s">
        <v>40</v>
      </c>
      <c r="G411" s="3" t="s">
        <v>41</v>
      </c>
      <c r="H411" s="3" t="s">
        <v>1375</v>
      </c>
      <c r="I411" s="4" t="s">
        <v>21</v>
      </c>
      <c r="J411" s="7">
        <v>1200</v>
      </c>
      <c r="K411" s="8">
        <v>1359</v>
      </c>
      <c r="L411" s="8">
        <v>579</v>
      </c>
      <c r="M411" s="8">
        <v>195</v>
      </c>
      <c r="N411" s="11">
        <v>579</v>
      </c>
      <c r="O411" s="12">
        <v>45959</v>
      </c>
      <c r="P411" s="2" t="s">
        <v>1360</v>
      </c>
      <c r="Q411" s="52">
        <v>763</v>
      </c>
      <c r="R411" s="53" t="s">
        <v>1362</v>
      </c>
      <c r="S411" s="54">
        <v>54</v>
      </c>
      <c r="T411" s="53" t="s">
        <v>1363</v>
      </c>
      <c r="U411" s="54">
        <v>31</v>
      </c>
    </row>
    <row r="412" spans="1:21" ht="54.75" hidden="1" customHeight="1" x14ac:dyDescent="0.25">
      <c r="A412" s="2" t="s">
        <v>1321</v>
      </c>
      <c r="B412" s="3" t="s">
        <v>1091</v>
      </c>
      <c r="C412" s="4">
        <v>3</v>
      </c>
      <c r="D412" s="4" t="s">
        <v>1092</v>
      </c>
      <c r="E412" s="3" t="s">
        <v>1093</v>
      </c>
      <c r="F412" s="3" t="s">
        <v>29</v>
      </c>
      <c r="G412" s="3" t="s">
        <v>35</v>
      </c>
      <c r="H412" s="3" t="s">
        <v>1375</v>
      </c>
      <c r="I412" s="4" t="s">
        <v>21</v>
      </c>
      <c r="J412" s="7">
        <v>1190</v>
      </c>
      <c r="K412" s="8">
        <v>1561</v>
      </c>
      <c r="L412" s="8">
        <v>1561</v>
      </c>
      <c r="M412" s="8">
        <v>660</v>
      </c>
      <c r="N412" s="11">
        <v>896</v>
      </c>
      <c r="O412" s="12">
        <v>45960</v>
      </c>
      <c r="P412" s="2" t="s">
        <v>1361</v>
      </c>
      <c r="Q412" s="52">
        <v>732</v>
      </c>
      <c r="R412" s="53" t="s">
        <v>1362</v>
      </c>
      <c r="S412" s="54">
        <v>54</v>
      </c>
      <c r="T412" s="53" t="s">
        <v>1363</v>
      </c>
      <c r="U412" s="54">
        <v>31</v>
      </c>
    </row>
    <row r="413" spans="1:21" ht="54.75" hidden="1" customHeight="1" x14ac:dyDescent="0.25">
      <c r="A413" s="2" t="s">
        <v>1322</v>
      </c>
      <c r="B413" s="3" t="s">
        <v>1289</v>
      </c>
      <c r="C413" s="4">
        <v>4</v>
      </c>
      <c r="D413" s="4" t="s">
        <v>1290</v>
      </c>
      <c r="E413" s="3" t="s">
        <v>1291</v>
      </c>
      <c r="F413" s="3" t="s">
        <v>29</v>
      </c>
      <c r="G413" s="3" t="s">
        <v>41</v>
      </c>
      <c r="H413" s="3" t="s">
        <v>1375</v>
      </c>
      <c r="I413" s="4" t="s">
        <v>21</v>
      </c>
      <c r="J413" s="7">
        <v>1169</v>
      </c>
      <c r="K413" s="8">
        <v>1478</v>
      </c>
      <c r="L413" s="8">
        <v>1478</v>
      </c>
      <c r="M413" s="8">
        <v>1090</v>
      </c>
      <c r="N413" s="11">
        <v>1478</v>
      </c>
      <c r="O413" s="12">
        <v>45961</v>
      </c>
      <c r="P413" s="2" t="s">
        <v>1361</v>
      </c>
      <c r="Q413" s="52">
        <v>732</v>
      </c>
      <c r="R413" s="53" t="s">
        <v>1362</v>
      </c>
      <c r="S413" s="54">
        <v>54</v>
      </c>
      <c r="T413" s="53" t="s">
        <v>1363</v>
      </c>
      <c r="U413" s="54">
        <v>31</v>
      </c>
    </row>
    <row r="414" spans="1:21" ht="54.75" hidden="1" customHeight="1" x14ac:dyDescent="0.25">
      <c r="A414" s="2" t="s">
        <v>1323</v>
      </c>
      <c r="B414" s="3" t="s">
        <v>701</v>
      </c>
      <c r="C414" s="4">
        <v>2</v>
      </c>
      <c r="D414" s="4" t="s">
        <v>702</v>
      </c>
      <c r="E414" s="3" t="s">
        <v>703</v>
      </c>
      <c r="F414" s="3" t="s">
        <v>40</v>
      </c>
      <c r="G414" s="3" t="s">
        <v>35</v>
      </c>
      <c r="H414" s="3" t="s">
        <v>1375</v>
      </c>
      <c r="I414" s="4" t="s">
        <v>21</v>
      </c>
      <c r="J414" s="7">
        <v>1095</v>
      </c>
      <c r="K414" s="8">
        <v>1409</v>
      </c>
      <c r="L414" s="8">
        <v>889</v>
      </c>
      <c r="M414" s="8">
        <v>260</v>
      </c>
      <c r="N414" s="11">
        <v>315</v>
      </c>
      <c r="O414" s="12">
        <v>45951</v>
      </c>
      <c r="P414" s="2" t="s">
        <v>1358</v>
      </c>
      <c r="Q414" s="52">
        <v>772</v>
      </c>
      <c r="R414" s="53" t="s">
        <v>1362</v>
      </c>
      <c r="S414" s="54">
        <v>54</v>
      </c>
      <c r="T414" s="53" t="s">
        <v>1363</v>
      </c>
      <c r="U414" s="54">
        <v>31</v>
      </c>
    </row>
    <row r="415" spans="1:21" ht="54.75" hidden="1" customHeight="1" x14ac:dyDescent="0.25">
      <c r="A415" s="2" t="s">
        <v>1324</v>
      </c>
      <c r="B415" s="3" t="s">
        <v>190</v>
      </c>
      <c r="C415" s="4">
        <v>2</v>
      </c>
      <c r="D415" s="4" t="s">
        <v>191</v>
      </c>
      <c r="E415" s="3" t="s">
        <v>192</v>
      </c>
      <c r="F415" s="3" t="s">
        <v>40</v>
      </c>
      <c r="G415" s="3" t="s">
        <v>35</v>
      </c>
      <c r="H415" s="3" t="s">
        <v>1375</v>
      </c>
      <c r="I415" s="4" t="s">
        <v>21</v>
      </c>
      <c r="J415" s="7">
        <v>1005</v>
      </c>
      <c r="K415" s="8">
        <v>1234</v>
      </c>
      <c r="L415" s="8">
        <v>1234</v>
      </c>
      <c r="M415" s="8">
        <v>525</v>
      </c>
      <c r="N415" s="11">
        <v>647</v>
      </c>
      <c r="O415" s="12">
        <v>45947</v>
      </c>
      <c r="P415" s="2" t="s">
        <v>1358</v>
      </c>
      <c r="Q415" s="52">
        <v>772</v>
      </c>
      <c r="R415" s="53" t="s">
        <v>1362</v>
      </c>
      <c r="S415" s="54">
        <v>54</v>
      </c>
      <c r="T415" s="53" t="s">
        <v>1363</v>
      </c>
      <c r="U415" s="54">
        <v>31</v>
      </c>
    </row>
    <row r="416" spans="1:21" ht="54.75" hidden="1" customHeight="1" x14ac:dyDescent="0.25">
      <c r="A416" s="2" t="s">
        <v>1325</v>
      </c>
      <c r="B416" s="3" t="s">
        <v>178</v>
      </c>
      <c r="C416" s="4">
        <v>2</v>
      </c>
      <c r="D416" s="4" t="s">
        <v>179</v>
      </c>
      <c r="E416" s="3" t="s">
        <v>180</v>
      </c>
      <c r="F416" s="3" t="s">
        <v>16</v>
      </c>
      <c r="G416" s="3" t="s">
        <v>41</v>
      </c>
      <c r="H416" s="3" t="s">
        <v>1375</v>
      </c>
      <c r="I416" s="4" t="s">
        <v>21</v>
      </c>
      <c r="J416" s="7">
        <v>990</v>
      </c>
      <c r="K416" s="8">
        <v>1325</v>
      </c>
      <c r="L416" s="8">
        <v>1325</v>
      </c>
      <c r="M416" s="8">
        <v>345</v>
      </c>
      <c r="N416" s="11">
        <v>1325</v>
      </c>
      <c r="O416" s="12">
        <v>45939</v>
      </c>
      <c r="P416" s="2" t="s">
        <v>1361</v>
      </c>
      <c r="Q416" s="52">
        <v>732</v>
      </c>
      <c r="R416" s="53" t="s">
        <v>1362</v>
      </c>
      <c r="S416" s="54">
        <v>54</v>
      </c>
      <c r="T416" s="53" t="s">
        <v>1363</v>
      </c>
      <c r="U416" s="54">
        <v>31</v>
      </c>
    </row>
    <row r="417" spans="1:21" ht="54.75" customHeight="1" x14ac:dyDescent="0.25">
      <c r="A417" s="2" t="s">
        <v>1326</v>
      </c>
      <c r="B417" s="3" t="s">
        <v>1327</v>
      </c>
      <c r="C417" s="4">
        <v>1</v>
      </c>
      <c r="D417" s="4" t="s">
        <v>1328</v>
      </c>
      <c r="E417" s="3" t="s">
        <v>1329</v>
      </c>
      <c r="F417" s="3" t="s">
        <v>16</v>
      </c>
      <c r="G417" s="3" t="s">
        <v>16</v>
      </c>
      <c r="H417" s="3" t="s">
        <v>1375</v>
      </c>
      <c r="I417" s="4" t="s">
        <v>21</v>
      </c>
      <c r="J417" s="7">
        <v>935</v>
      </c>
      <c r="K417" s="8">
        <v>1262</v>
      </c>
      <c r="L417" s="8">
        <v>1262</v>
      </c>
      <c r="M417" s="8">
        <v>1090</v>
      </c>
      <c r="N417" s="11">
        <v>0</v>
      </c>
      <c r="O417" s="12"/>
      <c r="P417" t="s">
        <v>1359</v>
      </c>
      <c r="R417" s="53" t="s">
        <v>1362</v>
      </c>
      <c r="S417" s="54">
        <v>54</v>
      </c>
      <c r="T417" s="53" t="s">
        <v>1363</v>
      </c>
      <c r="U417" s="54">
        <v>31</v>
      </c>
    </row>
    <row r="418" spans="1:21" ht="54.75" hidden="1" customHeight="1" x14ac:dyDescent="0.25">
      <c r="A418" s="2" t="s">
        <v>1330</v>
      </c>
      <c r="B418" s="3" t="s">
        <v>1021</v>
      </c>
      <c r="C418" s="4">
        <v>2</v>
      </c>
      <c r="D418" s="4" t="s">
        <v>1022</v>
      </c>
      <c r="E418" s="3" t="s">
        <v>1023</v>
      </c>
      <c r="F418" s="3" t="s">
        <v>16</v>
      </c>
      <c r="G418" s="3" t="s">
        <v>16</v>
      </c>
      <c r="H418" s="3" t="s">
        <v>1375</v>
      </c>
      <c r="I418" s="4" t="s">
        <v>21</v>
      </c>
      <c r="J418" s="7">
        <v>694</v>
      </c>
      <c r="K418" s="8">
        <v>1005</v>
      </c>
      <c r="L418" s="8">
        <v>605</v>
      </c>
      <c r="M418" s="8">
        <v>100</v>
      </c>
      <c r="N418" s="11">
        <v>0</v>
      </c>
      <c r="O418" s="12"/>
      <c r="P418" s="2" t="s">
        <v>1360</v>
      </c>
      <c r="Q418" s="52">
        <v>763</v>
      </c>
      <c r="R418" s="53" t="s">
        <v>1362</v>
      </c>
      <c r="S418" s="54">
        <v>54</v>
      </c>
      <c r="T418" s="53" t="s">
        <v>1363</v>
      </c>
      <c r="U418" s="54">
        <v>31</v>
      </c>
    </row>
    <row r="419" spans="1:21" ht="54.75" hidden="1" customHeight="1" x14ac:dyDescent="0.25">
      <c r="A419" s="2" t="s">
        <v>1331</v>
      </c>
      <c r="B419" s="3" t="s">
        <v>1269</v>
      </c>
      <c r="C419" s="4">
        <v>3</v>
      </c>
      <c r="D419" s="4" t="s">
        <v>1270</v>
      </c>
      <c r="E419" s="3" t="s">
        <v>1271</v>
      </c>
      <c r="F419" s="3" t="s">
        <v>29</v>
      </c>
      <c r="G419" s="3" t="s">
        <v>29</v>
      </c>
      <c r="H419" s="3" t="s">
        <v>1375</v>
      </c>
      <c r="I419" s="4" t="s">
        <v>21</v>
      </c>
      <c r="J419" s="7">
        <v>619</v>
      </c>
      <c r="K419" s="8">
        <v>770</v>
      </c>
      <c r="L419" s="8">
        <v>470</v>
      </c>
      <c r="M419" s="8">
        <v>100</v>
      </c>
      <c r="N419" s="11">
        <v>0</v>
      </c>
      <c r="O419" s="12"/>
      <c r="P419" s="2" t="s">
        <v>1360</v>
      </c>
      <c r="Q419" s="52">
        <v>763</v>
      </c>
      <c r="R419" s="53" t="s">
        <v>1362</v>
      </c>
      <c r="S419" s="54">
        <v>54</v>
      </c>
      <c r="T419" s="53" t="s">
        <v>1363</v>
      </c>
      <c r="U419" s="54">
        <v>31</v>
      </c>
    </row>
    <row r="420" spans="1:21" ht="54.75" hidden="1" customHeight="1" x14ac:dyDescent="0.25">
      <c r="A420" s="2" t="s">
        <v>1332</v>
      </c>
      <c r="B420" s="3" t="s">
        <v>897</v>
      </c>
      <c r="C420" s="4">
        <v>6</v>
      </c>
      <c r="D420" s="4" t="s">
        <v>898</v>
      </c>
      <c r="E420" s="3" t="s">
        <v>899</v>
      </c>
      <c r="F420" s="3" t="s">
        <v>29</v>
      </c>
      <c r="G420" s="3" t="s">
        <v>29</v>
      </c>
      <c r="H420" s="3" t="s">
        <v>1375</v>
      </c>
      <c r="I420" s="4" t="s">
        <v>21</v>
      </c>
      <c r="J420" s="7">
        <v>385</v>
      </c>
      <c r="K420" s="8">
        <v>525</v>
      </c>
      <c r="L420" s="8">
        <v>525</v>
      </c>
      <c r="M420" s="8">
        <v>410</v>
      </c>
      <c r="N420" s="11">
        <v>0</v>
      </c>
      <c r="O420" s="12"/>
      <c r="P420" s="2" t="s">
        <v>1358</v>
      </c>
      <c r="Q420" s="52">
        <v>772</v>
      </c>
      <c r="R420" s="53" t="s">
        <v>1362</v>
      </c>
      <c r="S420" s="54">
        <v>54</v>
      </c>
      <c r="T420" s="53" t="s">
        <v>1363</v>
      </c>
      <c r="U420" s="54">
        <v>31</v>
      </c>
    </row>
    <row r="421" spans="1:21" ht="54.75" hidden="1" customHeight="1" x14ac:dyDescent="0.25">
      <c r="A421" s="2" t="s">
        <v>1333</v>
      </c>
      <c r="B421" s="3" t="s">
        <v>461</v>
      </c>
      <c r="C421" s="4">
        <v>6</v>
      </c>
      <c r="D421" s="4" t="s">
        <v>462</v>
      </c>
      <c r="E421" s="3" t="s">
        <v>463</v>
      </c>
      <c r="F421" s="3" t="s">
        <v>40</v>
      </c>
      <c r="G421" s="3" t="s">
        <v>41</v>
      </c>
      <c r="H421" s="3" t="s">
        <v>1375</v>
      </c>
      <c r="I421" s="4" t="s">
        <v>21</v>
      </c>
      <c r="J421" s="7">
        <v>275</v>
      </c>
      <c r="K421" s="8">
        <v>412</v>
      </c>
      <c r="L421" s="8">
        <v>412</v>
      </c>
      <c r="M421" s="8">
        <v>175</v>
      </c>
      <c r="N421" s="11">
        <v>412</v>
      </c>
      <c r="O421" s="12">
        <v>45941</v>
      </c>
      <c r="P421" s="2" t="s">
        <v>1361</v>
      </c>
      <c r="Q421" s="52">
        <v>732</v>
      </c>
      <c r="R421" s="53" t="s">
        <v>1362</v>
      </c>
      <c r="S421" s="54">
        <v>54</v>
      </c>
      <c r="T421" s="53" t="s">
        <v>1363</v>
      </c>
      <c r="U421" s="54">
        <v>31</v>
      </c>
    </row>
  </sheetData>
  <autoFilter ref="A1:U421" xr:uid="{62BCF21E-664C-4AE6-A936-ED5A651B05ED}">
    <filterColumn colId="16">
      <filters blank="1"/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3EE22-9BEF-408E-9D57-FAD44538609C}">
  <dimension ref="A1:V18"/>
  <sheetViews>
    <sheetView workbookViewId="0">
      <selection activeCell="I8" sqref="I8"/>
    </sheetView>
  </sheetViews>
  <sheetFormatPr defaultRowHeight="15" x14ac:dyDescent="0.25"/>
  <cols>
    <col min="9" max="9" width="11.140625" bestFit="1" customWidth="1"/>
    <col min="10" max="10" width="10.7109375" bestFit="1" customWidth="1"/>
    <col min="11" max="11" width="5.7109375" customWidth="1"/>
    <col min="20" max="20" width="15" bestFit="1" customWidth="1"/>
  </cols>
  <sheetData>
    <row r="1" spans="1:22" ht="15.75" thickBot="1" x14ac:dyDescent="0.3">
      <c r="A1" s="13" t="s">
        <v>1334</v>
      </c>
      <c r="B1" s="13">
        <v>0</v>
      </c>
      <c r="C1" s="13">
        <v>1</v>
      </c>
      <c r="D1" s="13">
        <v>2</v>
      </c>
      <c r="E1" s="13">
        <v>3</v>
      </c>
      <c r="F1" s="13">
        <v>4</v>
      </c>
      <c r="G1" s="13">
        <v>5</v>
      </c>
      <c r="H1" s="13">
        <v>6</v>
      </c>
      <c r="I1" s="13" t="s">
        <v>11</v>
      </c>
      <c r="J1" s="13" t="s">
        <v>1335</v>
      </c>
      <c r="L1" s="14" t="s">
        <v>21</v>
      </c>
      <c r="M1" s="15" t="s">
        <v>1336</v>
      </c>
      <c r="N1" s="15" t="s">
        <v>1337</v>
      </c>
      <c r="O1" s="15" t="s">
        <v>1338</v>
      </c>
      <c r="P1" s="15" t="s">
        <v>1339</v>
      </c>
      <c r="Q1" s="15" t="s">
        <v>1340</v>
      </c>
      <c r="R1" s="15" t="s">
        <v>1341</v>
      </c>
      <c r="S1" s="15" t="s">
        <v>1342</v>
      </c>
      <c r="T1" s="16" t="s">
        <v>1343</v>
      </c>
      <c r="U1" s="97" t="s">
        <v>1344</v>
      </c>
      <c r="V1" s="98"/>
    </row>
    <row r="2" spans="1:22" x14ac:dyDescent="0.25">
      <c r="A2" s="2" t="s">
        <v>139</v>
      </c>
      <c r="B2" s="17"/>
      <c r="C2" s="17"/>
      <c r="D2" s="17"/>
      <c r="E2" s="17"/>
      <c r="F2" s="17"/>
      <c r="G2" s="17"/>
      <c r="H2" s="17"/>
      <c r="I2" s="17"/>
      <c r="J2" s="17"/>
      <c r="L2" s="18" t="s">
        <v>139</v>
      </c>
      <c r="M2" s="19">
        <v>0</v>
      </c>
      <c r="N2" s="19">
        <v>0</v>
      </c>
      <c r="O2" s="20"/>
      <c r="P2" s="20"/>
      <c r="Q2" s="20"/>
      <c r="R2" s="20"/>
      <c r="S2" s="20"/>
      <c r="T2" s="21"/>
      <c r="U2" s="22">
        <f>SUM(M2:T2)</f>
        <v>0</v>
      </c>
      <c r="V2" s="99">
        <f>SUM(U2:U8)</f>
        <v>55121.63</v>
      </c>
    </row>
    <row r="3" spans="1:22" x14ac:dyDescent="0.25">
      <c r="A3" s="2" t="s">
        <v>35</v>
      </c>
      <c r="B3" s="23">
        <v>6000</v>
      </c>
      <c r="C3" s="23">
        <v>1966</v>
      </c>
      <c r="D3" s="23">
        <v>11984</v>
      </c>
      <c r="E3" s="23"/>
      <c r="F3" s="23"/>
      <c r="G3" s="23"/>
      <c r="H3" s="23"/>
      <c r="I3" s="23"/>
      <c r="J3" s="23">
        <v>19950</v>
      </c>
      <c r="L3" s="24" t="s">
        <v>35</v>
      </c>
      <c r="M3" s="25">
        <v>300</v>
      </c>
      <c r="N3" s="26">
        <v>137.62</v>
      </c>
      <c r="O3" s="26">
        <v>1078.56</v>
      </c>
      <c r="P3" s="27"/>
      <c r="Q3" s="27"/>
      <c r="R3" s="27"/>
      <c r="S3" s="27"/>
      <c r="T3" s="28"/>
      <c r="U3" s="29">
        <f t="shared" ref="U3:U8" si="0">SUM(M3:T3)</f>
        <v>1516.1799999999998</v>
      </c>
      <c r="V3" s="100"/>
    </row>
    <row r="4" spans="1:22" x14ac:dyDescent="0.25">
      <c r="A4" s="2" t="s">
        <v>40</v>
      </c>
      <c r="B4" s="23">
        <v>0</v>
      </c>
      <c r="C4" s="23">
        <v>33024</v>
      </c>
      <c r="D4" s="23">
        <v>15760</v>
      </c>
      <c r="E4" s="23">
        <v>97250</v>
      </c>
      <c r="F4" s="23"/>
      <c r="G4" s="23"/>
      <c r="H4" s="23"/>
      <c r="I4" s="23"/>
      <c r="J4" s="23">
        <v>146034</v>
      </c>
      <c r="L4" s="24" t="s">
        <v>40</v>
      </c>
      <c r="M4" s="25">
        <v>0</v>
      </c>
      <c r="N4" s="26">
        <v>2311.6800000000003</v>
      </c>
      <c r="O4" s="26">
        <v>1418.3999999999999</v>
      </c>
      <c r="P4" s="26">
        <v>9725</v>
      </c>
      <c r="Q4" s="27"/>
      <c r="R4" s="27"/>
      <c r="S4" s="27"/>
      <c r="T4" s="28"/>
      <c r="U4" s="29">
        <f t="shared" si="0"/>
        <v>13455.08</v>
      </c>
      <c r="V4" s="100"/>
    </row>
    <row r="5" spans="1:22" x14ac:dyDescent="0.25">
      <c r="A5" s="2" t="s">
        <v>29</v>
      </c>
      <c r="B5" s="23">
        <v>914</v>
      </c>
      <c r="C5" s="23">
        <v>30172</v>
      </c>
      <c r="D5" s="23">
        <v>76903</v>
      </c>
      <c r="E5" s="23">
        <v>6032</v>
      </c>
      <c r="F5" s="23">
        <v>38289</v>
      </c>
      <c r="G5" s="23"/>
      <c r="H5" s="23"/>
      <c r="I5" s="23"/>
      <c r="J5" s="23">
        <v>152310</v>
      </c>
      <c r="L5" s="24" t="s">
        <v>29</v>
      </c>
      <c r="M5" s="25">
        <v>45.7</v>
      </c>
      <c r="N5" s="26">
        <v>2112.0400000000004</v>
      </c>
      <c r="O5" s="26">
        <v>6152.24</v>
      </c>
      <c r="P5" s="26">
        <v>603.20000000000005</v>
      </c>
      <c r="Q5" s="26">
        <v>4211.79</v>
      </c>
      <c r="R5" s="27"/>
      <c r="S5" s="27"/>
      <c r="T5" s="28"/>
      <c r="U5" s="29">
        <f t="shared" si="0"/>
        <v>13124.970000000001</v>
      </c>
      <c r="V5" s="100"/>
    </row>
    <row r="6" spans="1:22" x14ac:dyDescent="0.25">
      <c r="A6" s="2" t="s">
        <v>16</v>
      </c>
      <c r="B6" s="23">
        <v>9559</v>
      </c>
      <c r="C6" s="23">
        <v>15346</v>
      </c>
      <c r="D6" s="23">
        <v>6938</v>
      </c>
      <c r="E6" s="23">
        <v>33694</v>
      </c>
      <c r="F6" s="23"/>
      <c r="G6" s="23">
        <v>28222</v>
      </c>
      <c r="H6" s="23"/>
      <c r="I6" s="23"/>
      <c r="J6" s="23">
        <v>93759</v>
      </c>
      <c r="L6" s="24" t="s">
        <v>16</v>
      </c>
      <c r="M6" s="25">
        <v>477.95000000000005</v>
      </c>
      <c r="N6" s="26">
        <v>1074.22</v>
      </c>
      <c r="O6" s="26">
        <v>555.04</v>
      </c>
      <c r="P6" s="26">
        <v>3032.46</v>
      </c>
      <c r="Q6" s="26">
        <v>0</v>
      </c>
      <c r="R6" s="26">
        <v>3951.0800000000004</v>
      </c>
      <c r="S6" s="27"/>
      <c r="T6" s="28"/>
      <c r="U6" s="29">
        <f t="shared" si="0"/>
        <v>9090.75</v>
      </c>
      <c r="V6" s="100"/>
    </row>
    <row r="7" spans="1:22" x14ac:dyDescent="0.25">
      <c r="A7" s="2" t="s">
        <v>43</v>
      </c>
      <c r="B7" s="23">
        <v>1000</v>
      </c>
      <c r="C7" s="23">
        <v>15349</v>
      </c>
      <c r="D7" s="23">
        <v>37200</v>
      </c>
      <c r="E7" s="23">
        <v>8000</v>
      </c>
      <c r="F7" s="23"/>
      <c r="G7" s="23"/>
      <c r="H7" s="23">
        <v>50581</v>
      </c>
      <c r="I7" s="23"/>
      <c r="J7" s="23">
        <v>112130</v>
      </c>
      <c r="L7" s="24" t="s">
        <v>43</v>
      </c>
      <c r="M7" s="25">
        <v>50</v>
      </c>
      <c r="N7" s="26">
        <v>1074.43</v>
      </c>
      <c r="O7" s="26">
        <v>2976</v>
      </c>
      <c r="P7" s="26">
        <v>720</v>
      </c>
      <c r="Q7" s="26">
        <v>0</v>
      </c>
      <c r="R7" s="26">
        <v>0</v>
      </c>
      <c r="S7" s="26">
        <v>7081.3400000000011</v>
      </c>
      <c r="T7" s="28"/>
      <c r="U7" s="29">
        <f t="shared" si="0"/>
        <v>11901.77</v>
      </c>
      <c r="V7" s="100"/>
    </row>
    <row r="8" spans="1:22" ht="15.75" thickBot="1" x14ac:dyDescent="0.3">
      <c r="A8" s="2" t="s">
        <v>11</v>
      </c>
      <c r="B8" s="23"/>
      <c r="C8" s="23"/>
      <c r="D8" s="23"/>
      <c r="E8" s="23"/>
      <c r="F8" s="23"/>
      <c r="G8" s="23"/>
      <c r="H8" s="23"/>
      <c r="I8" s="23">
        <v>33516</v>
      </c>
      <c r="J8" s="23">
        <v>33516</v>
      </c>
      <c r="L8" s="30" t="s">
        <v>1345</v>
      </c>
      <c r="M8" s="31">
        <v>0</v>
      </c>
      <c r="N8" s="32">
        <v>0</v>
      </c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3">
        <v>6032.88</v>
      </c>
      <c r="U8" s="34">
        <f t="shared" si="0"/>
        <v>6032.88</v>
      </c>
      <c r="V8" s="101"/>
    </row>
    <row r="9" spans="1:22" x14ac:dyDescent="0.25">
      <c r="A9" s="102" t="s">
        <v>1346</v>
      </c>
      <c r="B9" s="103"/>
      <c r="C9" s="103"/>
      <c r="D9" s="103"/>
      <c r="E9" s="103"/>
      <c r="F9" s="103"/>
      <c r="G9" s="103"/>
      <c r="H9" s="103"/>
      <c r="I9" s="104"/>
      <c r="J9" s="35">
        <f>SUM(J3:J8)</f>
        <v>557699</v>
      </c>
    </row>
    <row r="10" spans="1:22" ht="15.75" thickBot="1" x14ac:dyDescent="0.3"/>
    <row r="11" spans="1:22" ht="15.75" thickBot="1" x14ac:dyDescent="0.3">
      <c r="L11" s="36"/>
      <c r="M11" s="37" t="s">
        <v>1336</v>
      </c>
      <c r="N11" s="37" t="s">
        <v>1337</v>
      </c>
      <c r="O11" s="37" t="s">
        <v>1338</v>
      </c>
      <c r="P11" s="37" t="s">
        <v>1339</v>
      </c>
      <c r="Q11" s="37" t="s">
        <v>1340</v>
      </c>
      <c r="R11" s="37" t="s">
        <v>1341</v>
      </c>
      <c r="S11" s="37" t="s">
        <v>1342</v>
      </c>
      <c r="T11" s="38" t="s">
        <v>1343</v>
      </c>
    </row>
    <row r="12" spans="1:22" x14ac:dyDescent="0.25">
      <c r="L12" s="39" t="s">
        <v>1347</v>
      </c>
      <c r="M12" s="40">
        <v>0.05</v>
      </c>
      <c r="N12" s="41">
        <v>0.08</v>
      </c>
      <c r="O12" s="42"/>
      <c r="P12" s="42"/>
      <c r="Q12" s="42"/>
      <c r="R12" s="42"/>
      <c r="S12" s="42"/>
      <c r="T12" s="43"/>
    </row>
    <row r="13" spans="1:22" x14ac:dyDescent="0.25">
      <c r="L13" s="39" t="s">
        <v>1348</v>
      </c>
      <c r="M13" s="40">
        <v>0.05</v>
      </c>
      <c r="N13" s="41">
        <v>7.0000000000000007E-2</v>
      </c>
      <c r="O13" s="41">
        <v>0.09</v>
      </c>
      <c r="P13" s="42"/>
      <c r="Q13" s="42"/>
      <c r="R13" s="42"/>
      <c r="S13" s="42"/>
      <c r="T13" s="44"/>
    </row>
    <row r="14" spans="1:22" x14ac:dyDescent="0.25">
      <c r="L14" s="39" t="s">
        <v>1349</v>
      </c>
      <c r="M14" s="40">
        <v>0.05</v>
      </c>
      <c r="N14" s="41">
        <v>7.0000000000000007E-2</v>
      </c>
      <c r="O14" s="41">
        <v>0.09</v>
      </c>
      <c r="P14" s="41">
        <v>0.1</v>
      </c>
      <c r="Q14" s="42"/>
      <c r="R14" s="42"/>
      <c r="S14" s="42"/>
      <c r="T14" s="44"/>
    </row>
    <row r="15" spans="1:22" x14ac:dyDescent="0.25">
      <c r="L15" s="39" t="s">
        <v>1350</v>
      </c>
      <c r="M15" s="40">
        <v>0.05</v>
      </c>
      <c r="N15" s="41">
        <v>7.0000000000000007E-2</v>
      </c>
      <c r="O15" s="41">
        <v>0.08</v>
      </c>
      <c r="P15" s="41">
        <v>0.1</v>
      </c>
      <c r="Q15" s="41">
        <v>0.11</v>
      </c>
      <c r="R15" s="42"/>
      <c r="S15" s="42"/>
      <c r="T15" s="44"/>
    </row>
    <row r="16" spans="1:22" x14ac:dyDescent="0.25">
      <c r="L16" s="39" t="s">
        <v>1351</v>
      </c>
      <c r="M16" s="40">
        <v>0.05</v>
      </c>
      <c r="N16" s="41">
        <v>7.0000000000000007E-2</v>
      </c>
      <c r="O16" s="41">
        <v>0.08</v>
      </c>
      <c r="P16" s="41">
        <v>0.09</v>
      </c>
      <c r="Q16" s="41">
        <v>0.12</v>
      </c>
      <c r="R16" s="41">
        <v>0.14000000000000001</v>
      </c>
      <c r="S16" s="42"/>
      <c r="T16" s="44"/>
    </row>
    <row r="17" spans="12:20" ht="15.75" thickBot="1" x14ac:dyDescent="0.3">
      <c r="L17" s="45" t="s">
        <v>1352</v>
      </c>
      <c r="M17" s="46">
        <v>0.05</v>
      </c>
      <c r="N17" s="47">
        <v>7.0000000000000007E-2</v>
      </c>
      <c r="O17" s="47">
        <v>0.08</v>
      </c>
      <c r="P17" s="47">
        <v>0.09</v>
      </c>
      <c r="Q17" s="47">
        <v>0.1</v>
      </c>
      <c r="R17" s="47">
        <v>0.12</v>
      </c>
      <c r="S17" s="47">
        <v>0.14000000000000001</v>
      </c>
      <c r="T17" s="48"/>
    </row>
    <row r="18" spans="12:20" ht="15.75" thickBot="1" x14ac:dyDescent="0.3">
      <c r="L18" s="49" t="s">
        <v>1345</v>
      </c>
      <c r="M18" s="50"/>
      <c r="N18" s="50"/>
      <c r="O18" s="50"/>
      <c r="P18" s="50"/>
      <c r="Q18" s="50"/>
      <c r="R18" s="50"/>
      <c r="S18" s="50"/>
      <c r="T18" s="48">
        <v>0.18</v>
      </c>
    </row>
  </sheetData>
  <mergeCells count="3">
    <mergeCell ref="U1:V1"/>
    <mergeCell ref="V2:V8"/>
    <mergeCell ref="A9:I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060D6-385C-4B81-B9B6-210234CF23E0}">
  <dimension ref="A1:L19"/>
  <sheetViews>
    <sheetView workbookViewId="0">
      <selection activeCell="B19" sqref="A1:XFD1048576"/>
    </sheetView>
  </sheetViews>
  <sheetFormatPr defaultRowHeight="15" x14ac:dyDescent="0.25"/>
  <cols>
    <col min="1" max="1" width="29" bestFit="1" customWidth="1"/>
    <col min="2" max="2" width="27.85546875" bestFit="1" customWidth="1"/>
    <col min="3" max="3" width="11.42578125" bestFit="1" customWidth="1"/>
    <col min="4" max="4" width="21.85546875" bestFit="1" customWidth="1"/>
    <col min="5" max="5" width="22.7109375" bestFit="1" customWidth="1"/>
  </cols>
  <sheetData>
    <row r="1" spans="1:8" s="57" customFormat="1" ht="21" x14ac:dyDescent="0.35">
      <c r="B1" s="58" t="s">
        <v>1367</v>
      </c>
      <c r="C1" s="59">
        <v>45931</v>
      </c>
      <c r="G1" s="60"/>
      <c r="H1" s="60"/>
    </row>
    <row r="3" spans="1:8" x14ac:dyDescent="0.25">
      <c r="A3" s="55" t="s">
        <v>1356</v>
      </c>
      <c r="B3" s="55" t="s">
        <v>1355</v>
      </c>
      <c r="C3" s="55" t="s">
        <v>1380</v>
      </c>
      <c r="D3" s="55" t="s">
        <v>1353</v>
      </c>
      <c r="E3" t="s">
        <v>1364</v>
      </c>
    </row>
    <row r="4" spans="1:8" x14ac:dyDescent="0.25">
      <c r="A4" t="s">
        <v>1363</v>
      </c>
      <c r="B4" t="s">
        <v>1362</v>
      </c>
      <c r="C4" t="s">
        <v>1375</v>
      </c>
      <c r="D4" t="s">
        <v>1360</v>
      </c>
      <c r="E4" s="56">
        <v>72942</v>
      </c>
    </row>
    <row r="5" spans="1:8" x14ac:dyDescent="0.25">
      <c r="D5" t="s">
        <v>1359</v>
      </c>
      <c r="E5" s="56">
        <v>81238</v>
      </c>
    </row>
    <row r="6" spans="1:8" x14ac:dyDescent="0.25">
      <c r="D6" t="s">
        <v>1358</v>
      </c>
      <c r="E6" s="56">
        <v>132695</v>
      </c>
    </row>
    <row r="7" spans="1:8" x14ac:dyDescent="0.25">
      <c r="D7" t="s">
        <v>1361</v>
      </c>
      <c r="E7" s="56">
        <v>237308</v>
      </c>
    </row>
    <row r="8" spans="1:8" x14ac:dyDescent="0.25">
      <c r="C8" t="s">
        <v>1382</v>
      </c>
      <c r="E8" s="56">
        <v>524183</v>
      </c>
    </row>
    <row r="9" spans="1:8" x14ac:dyDescent="0.25">
      <c r="C9" t="s">
        <v>1381</v>
      </c>
      <c r="D9" t="s">
        <v>1360</v>
      </c>
      <c r="E9" s="56">
        <v>7201</v>
      </c>
    </row>
    <row r="10" spans="1:8" x14ac:dyDescent="0.25">
      <c r="D10" t="s">
        <v>1359</v>
      </c>
      <c r="E10" s="56">
        <v>1000</v>
      </c>
    </row>
    <row r="11" spans="1:8" x14ac:dyDescent="0.25">
      <c r="D11" t="s">
        <v>1358</v>
      </c>
      <c r="E11" s="56">
        <v>18500</v>
      </c>
    </row>
    <row r="12" spans="1:8" x14ac:dyDescent="0.25">
      <c r="D12" t="s">
        <v>1361</v>
      </c>
      <c r="E12" s="56">
        <v>6815</v>
      </c>
    </row>
    <row r="13" spans="1:8" ht="21" x14ac:dyDescent="0.35">
      <c r="C13" t="s">
        <v>1383</v>
      </c>
      <c r="E13" s="56">
        <v>33516</v>
      </c>
      <c r="G13" s="63"/>
      <c r="H13" s="64"/>
    </row>
    <row r="14" spans="1:8" x14ac:dyDescent="0.25">
      <c r="B14" t="s">
        <v>1365</v>
      </c>
      <c r="E14" s="56">
        <v>557699</v>
      </c>
    </row>
    <row r="15" spans="1:8" x14ac:dyDescent="0.25">
      <c r="A15" t="s">
        <v>1366</v>
      </c>
      <c r="E15" s="56">
        <v>557699</v>
      </c>
    </row>
    <row r="16" spans="1:8" x14ac:dyDescent="0.25">
      <c r="A16" t="s">
        <v>1335</v>
      </c>
      <c r="E16" s="56">
        <v>557699</v>
      </c>
    </row>
    <row r="19" spans="1:12" ht="21" x14ac:dyDescent="0.35">
      <c r="A19" s="61" t="s">
        <v>1368</v>
      </c>
      <c r="B19" s="105" t="s">
        <v>1369</v>
      </c>
      <c r="C19" s="105"/>
      <c r="D19" s="105"/>
      <c r="E19" s="62" t="s">
        <v>1370</v>
      </c>
      <c r="G19" s="63"/>
      <c r="H19" s="64"/>
      <c r="J19" s="65"/>
      <c r="K19" s="66"/>
      <c r="L19" s="70"/>
    </row>
  </sheetData>
  <mergeCells count="1">
    <mergeCell ref="B19:D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D5D50-93DA-451C-A57E-5ABA8E0DDF4E}">
  <sheetPr>
    <pageSetUpPr fitToPage="1"/>
  </sheetPr>
  <dimension ref="A1:N26"/>
  <sheetViews>
    <sheetView topLeftCell="A3" zoomScaleNormal="100" workbookViewId="0">
      <selection activeCell="F18" sqref="F18"/>
    </sheetView>
  </sheetViews>
  <sheetFormatPr defaultRowHeight="15" x14ac:dyDescent="0.25"/>
  <cols>
    <col min="1" max="1" width="29" bestFit="1" customWidth="1"/>
    <col min="2" max="2" width="27.85546875" bestFit="1" customWidth="1"/>
    <col min="3" max="3" width="11.42578125" bestFit="1" customWidth="1"/>
    <col min="4" max="4" width="21.85546875" bestFit="1" customWidth="1"/>
    <col min="5" max="5" width="22.7109375" bestFit="1" customWidth="1"/>
    <col min="6" max="6" width="9.140625" style="76"/>
    <col min="7" max="7" width="11.5703125" style="64" bestFit="1" customWidth="1"/>
  </cols>
  <sheetData>
    <row r="1" spans="1:14" s="57" customFormat="1" ht="21" x14ac:dyDescent="0.35">
      <c r="B1" s="58" t="s">
        <v>1367</v>
      </c>
      <c r="C1" s="59">
        <v>45931</v>
      </c>
      <c r="F1" s="75"/>
      <c r="G1" s="60"/>
      <c r="L1"/>
      <c r="M1"/>
      <c r="N1"/>
    </row>
    <row r="2" spans="1:14" ht="15.75" thickBot="1" x14ac:dyDescent="0.3"/>
    <row r="3" spans="1:14" ht="18" thickBot="1" x14ac:dyDescent="0.35">
      <c r="A3" s="55" t="s">
        <v>1356</v>
      </c>
      <c r="B3" s="55" t="s">
        <v>1355</v>
      </c>
      <c r="C3" s="55" t="s">
        <v>1380</v>
      </c>
      <c r="D3" s="55" t="s">
        <v>1353</v>
      </c>
      <c r="E3" t="s">
        <v>1364</v>
      </c>
      <c r="F3" s="77" t="s">
        <v>1371</v>
      </c>
      <c r="G3" s="74" t="s">
        <v>1372</v>
      </c>
      <c r="L3" s="65"/>
      <c r="M3" s="66"/>
      <c r="N3" s="67" t="s">
        <v>1373</v>
      </c>
    </row>
    <row r="4" spans="1:14" ht="15.75" thickBot="1" x14ac:dyDescent="0.3">
      <c r="A4" t="s">
        <v>1363</v>
      </c>
      <c r="B4" t="s">
        <v>1362</v>
      </c>
      <c r="C4" t="s">
        <v>1375</v>
      </c>
      <c r="D4" t="s">
        <v>1360</v>
      </c>
      <c r="E4" s="56">
        <v>72942</v>
      </c>
      <c r="F4" s="76">
        <v>0.01</v>
      </c>
      <c r="G4" s="64" cm="1">
        <f t="array" ref="G4:G13">F4:F13*E4:E13</f>
        <v>729.42</v>
      </c>
      <c r="L4" s="106" t="s">
        <v>1374</v>
      </c>
      <c r="M4" s="68" t="s">
        <v>1375</v>
      </c>
      <c r="N4" s="69">
        <v>0.01</v>
      </c>
    </row>
    <row r="5" spans="1:14" ht="15.75" thickBot="1" x14ac:dyDescent="0.3">
      <c r="D5" t="s">
        <v>1359</v>
      </c>
      <c r="E5" s="56">
        <v>81238</v>
      </c>
      <c r="F5" s="82">
        <v>1.4999999999999999E-2</v>
      </c>
      <c r="G5" s="64">
        <v>1218.57</v>
      </c>
      <c r="L5" s="106"/>
      <c r="M5" s="68" t="s">
        <v>1379</v>
      </c>
      <c r="N5" s="69">
        <v>1.4999999999999999E-2</v>
      </c>
    </row>
    <row r="6" spans="1:14" ht="15.75" thickBot="1" x14ac:dyDescent="0.3">
      <c r="D6" t="s">
        <v>1358</v>
      </c>
      <c r="E6" s="56">
        <v>132695</v>
      </c>
      <c r="F6" s="76">
        <v>0.01</v>
      </c>
      <c r="G6" s="64">
        <v>1326.95</v>
      </c>
      <c r="L6" s="65"/>
      <c r="M6" s="66"/>
      <c r="N6" s="70"/>
    </row>
    <row r="7" spans="1:14" ht="18" thickBot="1" x14ac:dyDescent="0.35">
      <c r="D7" t="s">
        <v>1361</v>
      </c>
      <c r="E7" s="56">
        <v>237308</v>
      </c>
      <c r="F7" s="76">
        <v>0.01</v>
      </c>
      <c r="G7" s="64">
        <v>2373.08</v>
      </c>
      <c r="L7" s="65"/>
      <c r="M7" s="66"/>
      <c r="N7" s="67" t="s">
        <v>1373</v>
      </c>
    </row>
    <row r="8" spans="1:14" ht="15.75" thickBot="1" x14ac:dyDescent="0.3">
      <c r="C8" s="78" t="s">
        <v>1382</v>
      </c>
      <c r="D8" s="78"/>
      <c r="E8" s="79">
        <v>524183</v>
      </c>
      <c r="F8" s="80">
        <v>5.0000000000000001E-3</v>
      </c>
      <c r="G8" s="81">
        <v>2620.915</v>
      </c>
      <c r="L8" s="106" t="s">
        <v>1353</v>
      </c>
      <c r="M8" s="68" t="s">
        <v>1375</v>
      </c>
      <c r="N8" s="69">
        <v>1.4999999999999999E-2</v>
      </c>
    </row>
    <row r="9" spans="1:14" ht="15.75" thickBot="1" x14ac:dyDescent="0.3">
      <c r="C9" t="s">
        <v>1381</v>
      </c>
      <c r="D9" t="s">
        <v>1360</v>
      </c>
      <c r="E9" s="56">
        <v>7201</v>
      </c>
      <c r="F9" s="76">
        <v>1.4999999999999999E-2</v>
      </c>
      <c r="G9" s="64">
        <v>108.015</v>
      </c>
      <c r="L9" s="106"/>
      <c r="M9" s="68" t="s">
        <v>1379</v>
      </c>
      <c r="N9" s="69">
        <v>0.02</v>
      </c>
    </row>
    <row r="10" spans="1:14" ht="15.75" thickBot="1" x14ac:dyDescent="0.3">
      <c r="D10" t="s">
        <v>1359</v>
      </c>
      <c r="E10" s="56">
        <v>1000</v>
      </c>
      <c r="F10" s="82">
        <v>0.02</v>
      </c>
      <c r="G10" s="64">
        <v>20</v>
      </c>
      <c r="L10" s="65"/>
      <c r="M10" s="66"/>
      <c r="N10" s="70"/>
    </row>
    <row r="11" spans="1:14" ht="18" thickBot="1" x14ac:dyDescent="0.35">
      <c r="D11" t="s">
        <v>1358</v>
      </c>
      <c r="E11" s="56">
        <v>18500</v>
      </c>
      <c r="F11" s="76">
        <v>1.4999999999999999E-2</v>
      </c>
      <c r="G11" s="64">
        <v>277.5</v>
      </c>
      <c r="L11" s="65"/>
      <c r="M11" s="66"/>
      <c r="N11" s="67" t="s">
        <v>1373</v>
      </c>
    </row>
    <row r="12" spans="1:14" ht="15.75" thickBot="1" x14ac:dyDescent="0.3">
      <c r="D12" t="s">
        <v>1361</v>
      </c>
      <c r="E12" s="56">
        <v>6815</v>
      </c>
      <c r="F12" s="76">
        <v>1.4999999999999999E-2</v>
      </c>
      <c r="G12" s="64">
        <v>102.22499999999999</v>
      </c>
      <c r="L12" s="106" t="s">
        <v>1376</v>
      </c>
      <c r="M12" s="68" t="s">
        <v>1353</v>
      </c>
      <c r="N12" s="69">
        <v>0.02</v>
      </c>
    </row>
    <row r="13" spans="1:14" ht="15.75" thickBot="1" x14ac:dyDescent="0.3">
      <c r="C13" s="78" t="s">
        <v>1383</v>
      </c>
      <c r="D13" s="78"/>
      <c r="E13" s="79">
        <v>33516</v>
      </c>
      <c r="F13" s="80">
        <v>7.4999999999999997E-3</v>
      </c>
      <c r="G13" s="81">
        <v>251.37</v>
      </c>
      <c r="L13" s="106"/>
      <c r="M13" s="68" t="s">
        <v>1374</v>
      </c>
      <c r="N13" s="69">
        <v>1.4999999999999999E-2</v>
      </c>
    </row>
    <row r="14" spans="1:14" ht="15.75" thickBot="1" x14ac:dyDescent="0.3">
      <c r="B14" t="s">
        <v>1365</v>
      </c>
      <c r="E14" s="56">
        <v>557699</v>
      </c>
      <c r="L14" s="65"/>
      <c r="M14" s="66"/>
      <c r="N14" s="70"/>
    </row>
    <row r="15" spans="1:14" ht="18" thickBot="1" x14ac:dyDescent="0.35">
      <c r="A15" t="s">
        <v>1366</v>
      </c>
      <c r="E15" s="56">
        <v>557699</v>
      </c>
      <c r="L15" s="65"/>
      <c r="M15" s="66"/>
      <c r="N15" s="67" t="s">
        <v>1373</v>
      </c>
    </row>
    <row r="16" spans="1:14" ht="15.75" thickBot="1" x14ac:dyDescent="0.3">
      <c r="A16" t="s">
        <v>1335</v>
      </c>
      <c r="E16" s="56">
        <v>557699</v>
      </c>
      <c r="G16" s="64">
        <f>SUM(G4:G15)</f>
        <v>9028.0450000000001</v>
      </c>
      <c r="L16" s="106" t="s">
        <v>1377</v>
      </c>
      <c r="M16" s="68" t="s">
        <v>1375</v>
      </c>
      <c r="N16" s="69">
        <v>5.0000000000000001E-3</v>
      </c>
    </row>
    <row r="17" spans="1:14" ht="15.75" thickBot="1" x14ac:dyDescent="0.3">
      <c r="L17" s="106"/>
      <c r="M17" s="68" t="s">
        <v>1379</v>
      </c>
      <c r="N17" s="69">
        <v>7.4999999999999997E-3</v>
      </c>
    </row>
    <row r="18" spans="1:14" ht="15.75" thickBot="1" x14ac:dyDescent="0.3">
      <c r="D18" s="68" t="s">
        <v>1375</v>
      </c>
      <c r="E18" s="83">
        <v>524183</v>
      </c>
      <c r="F18" s="88">
        <v>2.5000000000000001E-3</v>
      </c>
      <c r="G18" s="83" cm="1">
        <f t="array" ref="G18:G19">+E18:E19*F18:F19</f>
        <v>1310.4575</v>
      </c>
      <c r="L18" s="71"/>
      <c r="M18" s="66"/>
      <c r="N18" s="72"/>
    </row>
    <row r="19" spans="1:14" ht="15.75" thickBot="1" x14ac:dyDescent="0.3">
      <c r="A19" s="84"/>
      <c r="B19" s="84"/>
      <c r="C19" s="84"/>
      <c r="D19" s="68" t="s">
        <v>1381</v>
      </c>
      <c r="E19" s="83">
        <v>33516</v>
      </c>
      <c r="F19" s="88">
        <v>2.5000000000000001E-3</v>
      </c>
      <c r="G19" s="83">
        <v>83.79</v>
      </c>
      <c r="L19" s="71"/>
      <c r="M19" s="66"/>
      <c r="N19" s="72"/>
    </row>
    <row r="20" spans="1:14" x14ac:dyDescent="0.25">
      <c r="A20" s="109" t="s">
        <v>1363</v>
      </c>
      <c r="B20" s="110"/>
      <c r="C20" s="110"/>
      <c r="D20" s="111"/>
      <c r="E20" s="85"/>
      <c r="F20" s="86"/>
      <c r="G20" s="87">
        <f>SUM(_xlfn.ANCHORARRAY(G18))</f>
        <v>1394.2474999999999</v>
      </c>
      <c r="L20" s="71"/>
      <c r="M20" s="66"/>
      <c r="N20" s="72"/>
    </row>
    <row r="21" spans="1:14" ht="15.75" x14ac:dyDescent="0.25">
      <c r="G21" s="73">
        <f>G20+G16</f>
        <v>10422.2925</v>
      </c>
      <c r="L21" s="71"/>
      <c r="M21" s="66"/>
      <c r="N21" s="72"/>
    </row>
    <row r="22" spans="1:14" x14ac:dyDescent="0.25">
      <c r="L22" s="71"/>
      <c r="M22" s="66"/>
      <c r="N22" s="72"/>
    </row>
    <row r="23" spans="1:14" ht="15.75" thickBot="1" x14ac:dyDescent="0.3">
      <c r="L23" s="71"/>
      <c r="M23" s="66"/>
      <c r="N23" s="72"/>
    </row>
    <row r="24" spans="1:14" ht="21.75" thickBot="1" x14ac:dyDescent="0.4">
      <c r="A24" s="61" t="s">
        <v>1368</v>
      </c>
      <c r="B24" s="105" t="s">
        <v>1369</v>
      </c>
      <c r="C24" s="105"/>
      <c r="D24" s="105"/>
      <c r="E24" s="62" t="s">
        <v>1370</v>
      </c>
      <c r="G24" s="63"/>
      <c r="K24" s="66"/>
      <c r="L24" s="65"/>
      <c r="M24" s="66"/>
      <c r="N24" s="67" t="s">
        <v>1373</v>
      </c>
    </row>
    <row r="25" spans="1:14" ht="15.75" thickBot="1" x14ac:dyDescent="0.3">
      <c r="L25" s="106" t="s">
        <v>1378</v>
      </c>
      <c r="M25" s="68" t="s">
        <v>1375</v>
      </c>
      <c r="N25" s="107">
        <v>2.5000000000000001E-3</v>
      </c>
    </row>
    <row r="26" spans="1:14" ht="15.75" thickBot="1" x14ac:dyDescent="0.3">
      <c r="L26" s="106"/>
      <c r="M26" s="68" t="s">
        <v>1379</v>
      </c>
      <c r="N26" s="108"/>
    </row>
  </sheetData>
  <mergeCells count="8">
    <mergeCell ref="L25:L26"/>
    <mergeCell ref="N25:N26"/>
    <mergeCell ref="A20:D20"/>
    <mergeCell ref="B24:D24"/>
    <mergeCell ref="L4:L5"/>
    <mergeCell ref="L8:L9"/>
    <mergeCell ref="L12:L13"/>
    <mergeCell ref="L16:L17"/>
  </mergeCells>
  <printOptions horizontalCentered="1"/>
  <pageMargins left="0" right="0" top="0" bottom="0" header="0" footer="0"/>
  <pageSetup paperSize="9" scale="75" fitToHeight="0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DD9BB-218F-4A9D-AA42-2421D6B4E753}">
  <sheetPr filterMode="1"/>
  <dimension ref="A1:C188"/>
  <sheetViews>
    <sheetView workbookViewId="0">
      <selection activeCell="B1" sqref="A1:B183"/>
    </sheetView>
  </sheetViews>
  <sheetFormatPr defaultRowHeight="15" x14ac:dyDescent="0.25"/>
  <cols>
    <col min="1" max="1" width="11.28515625" bestFit="1" customWidth="1"/>
    <col min="2" max="2" width="40.85546875" bestFit="1" customWidth="1"/>
    <col min="3" max="3" width="18.28515625" bestFit="1" customWidth="1"/>
  </cols>
  <sheetData>
    <row r="1" spans="1:3" ht="22.5" x14ac:dyDescent="0.25">
      <c r="A1" s="89" t="s">
        <v>1384</v>
      </c>
      <c r="B1" s="90" t="s">
        <v>1385</v>
      </c>
      <c r="C1" s="95" t="s">
        <v>1567</v>
      </c>
    </row>
    <row r="2" spans="1:3" ht="18.75" hidden="1" x14ac:dyDescent="0.25">
      <c r="A2" s="91">
        <v>2</v>
      </c>
      <c r="B2" s="92" t="s">
        <v>1386</v>
      </c>
      <c r="C2" s="96">
        <f>SUMIF(العمولة!$D$3:$D$13,ورقة1!B2,العمولة!$G$3:$G$14)</f>
        <v>0</v>
      </c>
    </row>
    <row r="3" spans="1:3" ht="18.75" hidden="1" x14ac:dyDescent="0.25">
      <c r="A3" s="91">
        <v>4</v>
      </c>
      <c r="B3" s="92" t="s">
        <v>1387</v>
      </c>
      <c r="C3" s="96">
        <f>SUMIF(العمولة!$D$3:$D$13,ورقة1!B3,العمولة!$G$3:$G$14)</f>
        <v>0</v>
      </c>
    </row>
    <row r="4" spans="1:3" ht="18.75" hidden="1" x14ac:dyDescent="0.25">
      <c r="A4" s="91">
        <v>5</v>
      </c>
      <c r="B4" s="92" t="s">
        <v>1388</v>
      </c>
      <c r="C4" s="96">
        <f>SUMIF(العمولة!$D$3:$D$13,ورقة1!B4,العمولة!$G$3:$G$14)</f>
        <v>0</v>
      </c>
    </row>
    <row r="5" spans="1:3" ht="18.75" hidden="1" x14ac:dyDescent="0.25">
      <c r="A5" s="91">
        <v>9</v>
      </c>
      <c r="B5" s="92" t="s">
        <v>1389</v>
      </c>
      <c r="C5" s="96">
        <f>SUMIF(العمولة!$D$3:$D$13,ورقة1!B5,العمولة!$G$3:$G$14)</f>
        <v>0</v>
      </c>
    </row>
    <row r="6" spans="1:3" ht="18.75" hidden="1" x14ac:dyDescent="0.25">
      <c r="A6" s="91">
        <v>10</v>
      </c>
      <c r="B6" s="92" t="s">
        <v>1390</v>
      </c>
      <c r="C6" s="96">
        <f>SUMIF(العمولة!$D$3:$D$13,ورقة1!B6,العمولة!$G$3:$G$14)</f>
        <v>0</v>
      </c>
    </row>
    <row r="7" spans="1:3" ht="18.75" hidden="1" x14ac:dyDescent="0.25">
      <c r="A7" s="91">
        <v>19</v>
      </c>
      <c r="B7" s="92" t="s">
        <v>1391</v>
      </c>
      <c r="C7" s="96">
        <f>SUMIF(العمولة!$D$3:$D$13,ورقة1!B7,العمولة!$G$3:$G$14)</f>
        <v>0</v>
      </c>
    </row>
    <row r="8" spans="1:3" ht="18.75" hidden="1" x14ac:dyDescent="0.25">
      <c r="A8" s="91">
        <v>20</v>
      </c>
      <c r="B8" s="92" t="s">
        <v>1392</v>
      </c>
      <c r="C8" s="96">
        <f>SUMIF(العمولة!$D$3:$D$13,ورقة1!B8,العمولة!$G$3:$G$14)</f>
        <v>0</v>
      </c>
    </row>
    <row r="9" spans="1:3" ht="18.75" x14ac:dyDescent="0.25">
      <c r="A9" s="91">
        <v>31</v>
      </c>
      <c r="B9" s="92" t="s">
        <v>1363</v>
      </c>
      <c r="C9" s="96">
        <f>العمولة!G20</f>
        <v>1394.2474999999999</v>
      </c>
    </row>
    <row r="10" spans="1:3" ht="18.75" hidden="1" x14ac:dyDescent="0.25">
      <c r="A10" s="91">
        <v>35</v>
      </c>
      <c r="B10" s="92" t="s">
        <v>1393</v>
      </c>
      <c r="C10" s="96">
        <f>SUMIF(العمولة!$D$3:$D$13,ورقة1!B10,العمولة!$G$3:$G$14)</f>
        <v>0</v>
      </c>
    </row>
    <row r="11" spans="1:3" ht="18.75" hidden="1" x14ac:dyDescent="0.25">
      <c r="A11" s="91">
        <v>45</v>
      </c>
      <c r="B11" s="92" t="s">
        <v>1394</v>
      </c>
      <c r="C11" s="96">
        <f>SUMIF(العمولة!$D$3:$D$13,ورقة1!B11,العمولة!$G$3:$G$14)</f>
        <v>0</v>
      </c>
    </row>
    <row r="12" spans="1:3" ht="18.75" x14ac:dyDescent="0.25">
      <c r="A12" s="91">
        <v>54</v>
      </c>
      <c r="B12" s="92" t="s">
        <v>1362</v>
      </c>
      <c r="C12" s="96">
        <f>العمولة!G13+العمولة!G8</f>
        <v>2872.2849999999999</v>
      </c>
    </row>
    <row r="13" spans="1:3" ht="18.75" hidden="1" x14ac:dyDescent="0.25">
      <c r="A13" s="91">
        <v>60</v>
      </c>
      <c r="B13" s="92" t="s">
        <v>1395</v>
      </c>
      <c r="C13" s="96">
        <f>SUMIF(العمولة!$D$3:$D$13,ورقة1!B13,العمولة!$G$3:$G$14)</f>
        <v>0</v>
      </c>
    </row>
    <row r="14" spans="1:3" ht="18.75" hidden="1" x14ac:dyDescent="0.25">
      <c r="A14" s="91">
        <v>62</v>
      </c>
      <c r="B14" s="92" t="s">
        <v>1396</v>
      </c>
      <c r="C14" s="96">
        <f>SUMIF(العمولة!$D$3:$D$13,ورقة1!B14,العمولة!$G$3:$G$14)</f>
        <v>0</v>
      </c>
    </row>
    <row r="15" spans="1:3" ht="18.75" hidden="1" x14ac:dyDescent="0.25">
      <c r="A15" s="91">
        <v>64</v>
      </c>
      <c r="B15" s="92" t="s">
        <v>1397</v>
      </c>
      <c r="C15" s="96">
        <f>SUMIF(العمولة!$D$3:$D$13,ورقة1!B15,العمولة!$G$3:$G$14)</f>
        <v>0</v>
      </c>
    </row>
    <row r="16" spans="1:3" ht="18.75" hidden="1" x14ac:dyDescent="0.25">
      <c r="A16" s="91">
        <v>71</v>
      </c>
      <c r="B16" s="92" t="s">
        <v>1398</v>
      </c>
      <c r="C16" s="96">
        <f>SUMIF(العمولة!$D$3:$D$13,ورقة1!B16,العمولة!$G$3:$G$14)</f>
        <v>0</v>
      </c>
    </row>
    <row r="17" spans="1:3" ht="18.75" hidden="1" x14ac:dyDescent="0.25">
      <c r="A17" s="91">
        <v>83</v>
      </c>
      <c r="B17" s="92" t="s">
        <v>1399</v>
      </c>
      <c r="C17" s="96">
        <f>SUMIF(العمولة!$D$3:$D$13,ورقة1!B17,العمولة!$G$3:$G$14)</f>
        <v>0</v>
      </c>
    </row>
    <row r="18" spans="1:3" ht="18.75" hidden="1" x14ac:dyDescent="0.25">
      <c r="A18" s="91">
        <v>97</v>
      </c>
      <c r="B18" s="92" t="s">
        <v>1400</v>
      </c>
      <c r="C18" s="96">
        <f>SUMIF(العمولة!$D$3:$D$13,ورقة1!B18,العمولة!$G$3:$G$14)</f>
        <v>0</v>
      </c>
    </row>
    <row r="19" spans="1:3" ht="18.75" hidden="1" x14ac:dyDescent="0.25">
      <c r="A19" s="91">
        <v>119</v>
      </c>
      <c r="B19" s="92" t="s">
        <v>1401</v>
      </c>
      <c r="C19" s="96">
        <f>SUMIF(العمولة!$D$3:$D$13,ورقة1!B19,العمولة!$G$3:$G$14)</f>
        <v>0</v>
      </c>
    </row>
    <row r="20" spans="1:3" ht="18.75" hidden="1" x14ac:dyDescent="0.25">
      <c r="A20" s="91">
        <v>125</v>
      </c>
      <c r="B20" s="92" t="s">
        <v>1402</v>
      </c>
      <c r="C20" s="96">
        <f>SUMIF(العمولة!$D$3:$D$13,ورقة1!B20,العمولة!$G$3:$G$14)</f>
        <v>0</v>
      </c>
    </row>
    <row r="21" spans="1:3" ht="18.75" hidden="1" x14ac:dyDescent="0.25">
      <c r="A21" s="91">
        <v>129</v>
      </c>
      <c r="B21" s="92" t="s">
        <v>1403</v>
      </c>
      <c r="C21" s="96">
        <f>SUMIF(العمولة!$D$3:$D$13,ورقة1!B21,العمولة!$G$3:$G$14)</f>
        <v>0</v>
      </c>
    </row>
    <row r="22" spans="1:3" ht="18.75" hidden="1" x14ac:dyDescent="0.25">
      <c r="A22" s="91">
        <v>131</v>
      </c>
      <c r="B22" s="92" t="s">
        <v>1404</v>
      </c>
      <c r="C22" s="96">
        <f>SUMIF(العمولة!$D$3:$D$13,ورقة1!B22,العمولة!$G$3:$G$14)</f>
        <v>0</v>
      </c>
    </row>
    <row r="23" spans="1:3" ht="18.75" hidden="1" x14ac:dyDescent="0.25">
      <c r="A23" s="91">
        <v>133</v>
      </c>
      <c r="B23" s="92" t="s">
        <v>1405</v>
      </c>
      <c r="C23" s="96">
        <f>SUMIF(العمولة!$D$3:$D$13,ورقة1!B23,العمولة!$G$3:$G$14)</f>
        <v>0</v>
      </c>
    </row>
    <row r="24" spans="1:3" ht="18.75" hidden="1" x14ac:dyDescent="0.25">
      <c r="A24" s="91">
        <v>136</v>
      </c>
      <c r="B24" s="92" t="s">
        <v>1406</v>
      </c>
      <c r="C24" s="96">
        <f>SUMIF(العمولة!$D$3:$D$13,ورقة1!B24,العمولة!$G$3:$G$14)</f>
        <v>0</v>
      </c>
    </row>
    <row r="25" spans="1:3" ht="18.75" hidden="1" x14ac:dyDescent="0.25">
      <c r="A25" s="91">
        <v>150</v>
      </c>
      <c r="B25" s="92" t="s">
        <v>1407</v>
      </c>
      <c r="C25" s="96">
        <f>SUMIF(العمولة!$D$3:$D$13,ورقة1!B25,العمولة!$G$3:$G$14)</f>
        <v>0</v>
      </c>
    </row>
    <row r="26" spans="1:3" ht="18.75" hidden="1" x14ac:dyDescent="0.25">
      <c r="A26" s="91">
        <v>151</v>
      </c>
      <c r="B26" s="92" t="s">
        <v>1408</v>
      </c>
      <c r="C26" s="96">
        <f>SUMIF(العمولة!$D$3:$D$13,ورقة1!B26,العمولة!$G$3:$G$14)</f>
        <v>0</v>
      </c>
    </row>
    <row r="27" spans="1:3" ht="18.75" hidden="1" x14ac:dyDescent="0.25">
      <c r="A27" s="91">
        <v>162</v>
      </c>
      <c r="B27" s="92" t="s">
        <v>1409</v>
      </c>
      <c r="C27" s="96">
        <f>SUMIF(العمولة!$D$3:$D$13,ورقة1!B27,العمولة!$G$3:$G$14)</f>
        <v>0</v>
      </c>
    </row>
    <row r="28" spans="1:3" ht="18.75" hidden="1" x14ac:dyDescent="0.25">
      <c r="A28" s="91">
        <v>177</v>
      </c>
      <c r="B28" s="92" t="s">
        <v>1410</v>
      </c>
      <c r="C28" s="96">
        <f>SUMIF(العمولة!$D$3:$D$13,ورقة1!B28,العمولة!$G$3:$G$14)</f>
        <v>0</v>
      </c>
    </row>
    <row r="29" spans="1:3" ht="18.75" hidden="1" x14ac:dyDescent="0.25">
      <c r="A29" s="91">
        <v>197</v>
      </c>
      <c r="B29" s="92" t="s">
        <v>1411</v>
      </c>
      <c r="C29" s="96">
        <f>SUMIF(العمولة!$D$3:$D$13,ورقة1!B29,العمولة!$G$3:$G$14)</f>
        <v>0</v>
      </c>
    </row>
    <row r="30" spans="1:3" ht="18.75" hidden="1" x14ac:dyDescent="0.25">
      <c r="A30" s="91">
        <v>215</v>
      </c>
      <c r="B30" s="92" t="s">
        <v>1412</v>
      </c>
      <c r="C30" s="96">
        <f>SUMIF(العمولة!$D$3:$D$13,ورقة1!B30,العمولة!$G$3:$G$14)</f>
        <v>0</v>
      </c>
    </row>
    <row r="31" spans="1:3" ht="18.75" hidden="1" x14ac:dyDescent="0.25">
      <c r="A31" s="91">
        <v>223</v>
      </c>
      <c r="B31" s="92" t="s">
        <v>1413</v>
      </c>
      <c r="C31" s="96">
        <f>SUMIF(العمولة!$D$3:$D$13,ورقة1!B31,العمولة!$G$3:$G$14)</f>
        <v>0</v>
      </c>
    </row>
    <row r="32" spans="1:3" ht="18.75" hidden="1" x14ac:dyDescent="0.25">
      <c r="A32" s="91">
        <v>238</v>
      </c>
      <c r="B32" s="92" t="s">
        <v>1414</v>
      </c>
      <c r="C32" s="96">
        <f>SUMIF(العمولة!$D$3:$D$13,ورقة1!B32,العمولة!$G$3:$G$14)</f>
        <v>0</v>
      </c>
    </row>
    <row r="33" spans="1:3" ht="18.75" hidden="1" x14ac:dyDescent="0.25">
      <c r="A33" s="91">
        <v>239</v>
      </c>
      <c r="B33" s="92" t="s">
        <v>1415</v>
      </c>
      <c r="C33" s="96">
        <f>SUMIF(العمولة!$D$3:$D$13,ورقة1!B33,العمولة!$G$3:$G$14)</f>
        <v>0</v>
      </c>
    </row>
    <row r="34" spans="1:3" ht="18.75" hidden="1" x14ac:dyDescent="0.25">
      <c r="A34" s="91">
        <v>242</v>
      </c>
      <c r="B34" s="92" t="s">
        <v>1416</v>
      </c>
      <c r="C34" s="96">
        <f>SUMIF(العمولة!$D$3:$D$13,ورقة1!B34,العمولة!$G$3:$G$14)</f>
        <v>0</v>
      </c>
    </row>
    <row r="35" spans="1:3" ht="18.75" hidden="1" x14ac:dyDescent="0.25">
      <c r="A35" s="91">
        <v>258</v>
      </c>
      <c r="B35" s="92" t="s">
        <v>1417</v>
      </c>
      <c r="C35" s="96">
        <f>SUMIF(العمولة!$D$3:$D$13,ورقة1!B35,العمولة!$G$3:$G$14)</f>
        <v>0</v>
      </c>
    </row>
    <row r="36" spans="1:3" ht="18.75" hidden="1" x14ac:dyDescent="0.25">
      <c r="A36" s="91">
        <v>262</v>
      </c>
      <c r="B36" s="92" t="s">
        <v>1418</v>
      </c>
      <c r="C36" s="96">
        <f>SUMIF(العمولة!$D$3:$D$13,ورقة1!B36,العمولة!$G$3:$G$14)</f>
        <v>0</v>
      </c>
    </row>
    <row r="37" spans="1:3" ht="18.75" hidden="1" x14ac:dyDescent="0.25">
      <c r="A37" s="91">
        <v>269</v>
      </c>
      <c r="B37" s="92" t="s">
        <v>1419</v>
      </c>
      <c r="C37" s="96">
        <f>SUMIF(العمولة!$D$3:$D$13,ورقة1!B37,العمولة!$G$3:$G$14)</f>
        <v>0</v>
      </c>
    </row>
    <row r="38" spans="1:3" ht="18.75" hidden="1" x14ac:dyDescent="0.25">
      <c r="A38" s="91">
        <v>273</v>
      </c>
      <c r="B38" s="92" t="s">
        <v>1420</v>
      </c>
      <c r="C38" s="96">
        <f>SUMIF(العمولة!$D$3:$D$13,ورقة1!B38,العمولة!$G$3:$G$14)</f>
        <v>0</v>
      </c>
    </row>
    <row r="39" spans="1:3" ht="18.75" hidden="1" x14ac:dyDescent="0.25">
      <c r="A39" s="91">
        <v>278</v>
      </c>
      <c r="B39" s="92" t="s">
        <v>1421</v>
      </c>
      <c r="C39" s="96">
        <f>SUMIF(العمولة!$D$3:$D$13,ورقة1!B39,العمولة!$G$3:$G$14)</f>
        <v>0</v>
      </c>
    </row>
    <row r="40" spans="1:3" ht="18.75" hidden="1" x14ac:dyDescent="0.25">
      <c r="A40" s="91">
        <v>284</v>
      </c>
      <c r="B40" s="92" t="s">
        <v>1422</v>
      </c>
      <c r="C40" s="96">
        <f>SUMIF(العمولة!$D$3:$D$13,ورقة1!B40,العمولة!$G$3:$G$14)</f>
        <v>0</v>
      </c>
    </row>
    <row r="41" spans="1:3" ht="18.75" hidden="1" x14ac:dyDescent="0.25">
      <c r="A41" s="91">
        <v>289</v>
      </c>
      <c r="B41" s="92" t="s">
        <v>1423</v>
      </c>
      <c r="C41" s="96">
        <f>SUMIF(العمولة!$D$3:$D$13,ورقة1!B41,العمولة!$G$3:$G$14)</f>
        <v>0</v>
      </c>
    </row>
    <row r="42" spans="1:3" ht="18.75" hidden="1" x14ac:dyDescent="0.25">
      <c r="A42" s="91">
        <v>294</v>
      </c>
      <c r="B42" s="92" t="s">
        <v>1424</v>
      </c>
      <c r="C42" s="96">
        <f>SUMIF(العمولة!$D$3:$D$13,ورقة1!B42,العمولة!$G$3:$G$14)</f>
        <v>0</v>
      </c>
    </row>
    <row r="43" spans="1:3" ht="18.75" hidden="1" x14ac:dyDescent="0.25">
      <c r="A43" s="91">
        <v>302</v>
      </c>
      <c r="B43" s="92" t="s">
        <v>1425</v>
      </c>
      <c r="C43" s="96">
        <f>SUMIF(العمولة!$D$3:$D$13,ورقة1!B43,العمولة!$G$3:$G$14)</f>
        <v>0</v>
      </c>
    </row>
    <row r="44" spans="1:3" ht="18.75" hidden="1" x14ac:dyDescent="0.25">
      <c r="A44" s="91">
        <v>324</v>
      </c>
      <c r="B44" s="92" t="s">
        <v>1426</v>
      </c>
      <c r="C44" s="96">
        <f>SUMIF(العمولة!$D$3:$D$13,ورقة1!B44,العمولة!$G$3:$G$14)</f>
        <v>0</v>
      </c>
    </row>
    <row r="45" spans="1:3" ht="18.75" hidden="1" x14ac:dyDescent="0.25">
      <c r="A45" s="91">
        <v>332</v>
      </c>
      <c r="B45" s="92" t="s">
        <v>1427</v>
      </c>
      <c r="C45" s="96">
        <f>SUMIF(العمولة!$D$3:$D$13,ورقة1!B45,العمولة!$G$3:$G$14)</f>
        <v>0</v>
      </c>
    </row>
    <row r="46" spans="1:3" ht="18.75" hidden="1" x14ac:dyDescent="0.25">
      <c r="A46" s="91">
        <v>340</v>
      </c>
      <c r="B46" s="92" t="s">
        <v>1428</v>
      </c>
      <c r="C46" s="96">
        <f>SUMIF(العمولة!$D$3:$D$13,ورقة1!B46,العمولة!$G$3:$G$14)</f>
        <v>0</v>
      </c>
    </row>
    <row r="47" spans="1:3" ht="18.75" hidden="1" x14ac:dyDescent="0.25">
      <c r="A47" s="91">
        <v>354</v>
      </c>
      <c r="B47" s="92" t="s">
        <v>1429</v>
      </c>
      <c r="C47" s="96">
        <f>SUMIF(العمولة!$D$3:$D$13,ورقة1!B47,العمولة!$G$3:$G$14)</f>
        <v>0</v>
      </c>
    </row>
    <row r="48" spans="1:3" ht="18.75" hidden="1" x14ac:dyDescent="0.25">
      <c r="A48" s="91">
        <v>355</v>
      </c>
      <c r="B48" s="92" t="s">
        <v>1430</v>
      </c>
      <c r="C48" s="96">
        <f>SUMIF(العمولة!$D$3:$D$13,ورقة1!B48,العمولة!$G$3:$G$14)</f>
        <v>0</v>
      </c>
    </row>
    <row r="49" spans="1:3" ht="18.75" hidden="1" x14ac:dyDescent="0.25">
      <c r="A49" s="91">
        <v>378</v>
      </c>
      <c r="B49" s="92" t="s">
        <v>1431</v>
      </c>
      <c r="C49" s="96">
        <f>SUMIF(العمولة!$D$3:$D$13,ورقة1!B49,العمولة!$G$3:$G$14)</f>
        <v>0</v>
      </c>
    </row>
    <row r="50" spans="1:3" ht="18.75" hidden="1" x14ac:dyDescent="0.25">
      <c r="A50" s="91">
        <v>389</v>
      </c>
      <c r="B50" s="92" t="s">
        <v>1432</v>
      </c>
      <c r="C50" s="96">
        <f>SUMIF(العمولة!$D$3:$D$13,ورقة1!B50,العمولة!$G$3:$G$14)</f>
        <v>0</v>
      </c>
    </row>
    <row r="51" spans="1:3" ht="18.75" hidden="1" x14ac:dyDescent="0.25">
      <c r="A51" s="91">
        <v>395</v>
      </c>
      <c r="B51" s="92" t="s">
        <v>1433</v>
      </c>
      <c r="C51" s="96">
        <f>SUMIF(العمولة!$D$3:$D$13,ورقة1!B51,العمولة!$G$3:$G$14)</f>
        <v>0</v>
      </c>
    </row>
    <row r="52" spans="1:3" ht="18.75" hidden="1" x14ac:dyDescent="0.25">
      <c r="A52" s="91">
        <v>421</v>
      </c>
      <c r="B52" s="92" t="s">
        <v>1434</v>
      </c>
      <c r="C52" s="96">
        <f>SUMIF(العمولة!$D$3:$D$13,ورقة1!B52,العمولة!$G$3:$G$14)</f>
        <v>0</v>
      </c>
    </row>
    <row r="53" spans="1:3" ht="18.75" hidden="1" x14ac:dyDescent="0.25">
      <c r="A53" s="91">
        <v>426</v>
      </c>
      <c r="B53" s="92" t="s">
        <v>1435</v>
      </c>
      <c r="C53" s="96">
        <f>SUMIF(العمولة!$D$3:$D$13,ورقة1!B53,العمولة!$G$3:$G$14)</f>
        <v>0</v>
      </c>
    </row>
    <row r="54" spans="1:3" ht="18.75" hidden="1" x14ac:dyDescent="0.25">
      <c r="A54" s="91">
        <v>466</v>
      </c>
      <c r="B54" s="92" t="s">
        <v>1436</v>
      </c>
      <c r="C54" s="96">
        <f>SUMIF(العمولة!$D$3:$D$13,ورقة1!B54,العمولة!$G$3:$G$14)</f>
        <v>0</v>
      </c>
    </row>
    <row r="55" spans="1:3" ht="18.75" hidden="1" x14ac:dyDescent="0.25">
      <c r="A55" s="91">
        <v>473</v>
      </c>
      <c r="B55" s="92" t="s">
        <v>1437</v>
      </c>
      <c r="C55" s="96">
        <f>SUMIF(العمولة!$D$3:$D$13,ورقة1!B55,العمولة!$G$3:$G$14)</f>
        <v>0</v>
      </c>
    </row>
    <row r="56" spans="1:3" ht="18.75" hidden="1" x14ac:dyDescent="0.25">
      <c r="A56" s="91">
        <v>483</v>
      </c>
      <c r="B56" s="92" t="s">
        <v>1438</v>
      </c>
      <c r="C56" s="96">
        <f>SUMIF(العمولة!$D$3:$D$13,ورقة1!B56,العمولة!$G$3:$G$14)</f>
        <v>0</v>
      </c>
    </row>
    <row r="57" spans="1:3" ht="18.75" hidden="1" x14ac:dyDescent="0.25">
      <c r="A57" s="91">
        <v>484</v>
      </c>
      <c r="B57" s="92" t="s">
        <v>1439</v>
      </c>
      <c r="C57" s="96">
        <f>SUMIF(العمولة!$D$3:$D$13,ورقة1!B57,العمولة!$G$3:$G$14)</f>
        <v>0</v>
      </c>
    </row>
    <row r="58" spans="1:3" ht="18.75" hidden="1" x14ac:dyDescent="0.25">
      <c r="A58" s="91">
        <v>492</v>
      </c>
      <c r="B58" s="92" t="s">
        <v>1440</v>
      </c>
      <c r="C58" s="96">
        <f>SUMIF(العمولة!$D$3:$D$13,ورقة1!B58,العمولة!$G$3:$G$14)</f>
        <v>0</v>
      </c>
    </row>
    <row r="59" spans="1:3" ht="18.75" hidden="1" x14ac:dyDescent="0.25">
      <c r="A59" s="91">
        <v>493</v>
      </c>
      <c r="B59" s="92" t="s">
        <v>1441</v>
      </c>
      <c r="C59" s="96">
        <f>SUMIF(العمولة!$D$3:$D$13,ورقة1!B59,العمولة!$G$3:$G$14)</f>
        <v>0</v>
      </c>
    </row>
    <row r="60" spans="1:3" ht="18.75" hidden="1" x14ac:dyDescent="0.25">
      <c r="A60" s="91">
        <v>500</v>
      </c>
      <c r="B60" s="92" t="s">
        <v>1442</v>
      </c>
      <c r="C60" s="96">
        <f>SUMIF(العمولة!$D$3:$D$13,ورقة1!B60,العمولة!$G$3:$G$14)</f>
        <v>0</v>
      </c>
    </row>
    <row r="61" spans="1:3" ht="18.75" hidden="1" x14ac:dyDescent="0.25">
      <c r="A61" s="91">
        <v>503</v>
      </c>
      <c r="B61" s="92" t="s">
        <v>1443</v>
      </c>
      <c r="C61" s="96">
        <f>SUMIF(العمولة!$D$3:$D$13,ورقة1!B61,العمولة!$G$3:$G$14)</f>
        <v>0</v>
      </c>
    </row>
    <row r="62" spans="1:3" ht="18.75" hidden="1" x14ac:dyDescent="0.25">
      <c r="A62" s="91">
        <v>504</v>
      </c>
      <c r="B62" s="92" t="s">
        <v>1444</v>
      </c>
      <c r="C62" s="96">
        <f>SUMIF(العمولة!$D$3:$D$13,ورقة1!B62,العمولة!$G$3:$G$14)</f>
        <v>0</v>
      </c>
    </row>
    <row r="63" spans="1:3" ht="18.75" hidden="1" x14ac:dyDescent="0.25">
      <c r="A63" s="91">
        <v>509</v>
      </c>
      <c r="B63" s="92" t="s">
        <v>1445</v>
      </c>
      <c r="C63" s="96">
        <f>SUMIF(العمولة!$D$3:$D$13,ورقة1!B63,العمولة!$G$3:$G$14)</f>
        <v>0</v>
      </c>
    </row>
    <row r="64" spans="1:3" ht="18.75" hidden="1" x14ac:dyDescent="0.25">
      <c r="A64" s="91">
        <v>512</v>
      </c>
      <c r="B64" s="92" t="s">
        <v>1446</v>
      </c>
      <c r="C64" s="96">
        <f>SUMIF(العمولة!$D$3:$D$13,ورقة1!B64,العمولة!$G$3:$G$14)</f>
        <v>0</v>
      </c>
    </row>
    <row r="65" spans="1:3" ht="18.75" hidden="1" x14ac:dyDescent="0.25">
      <c r="A65" s="91">
        <v>514</v>
      </c>
      <c r="B65" s="92" t="s">
        <v>1447</v>
      </c>
      <c r="C65" s="96">
        <f>SUMIF(العمولة!$D$3:$D$13,ورقة1!B65,العمولة!$G$3:$G$14)</f>
        <v>0</v>
      </c>
    </row>
    <row r="66" spans="1:3" ht="18.75" hidden="1" x14ac:dyDescent="0.25">
      <c r="A66" s="91">
        <v>515</v>
      </c>
      <c r="B66" s="92" t="s">
        <v>1448</v>
      </c>
      <c r="C66" s="96">
        <f>SUMIF(العمولة!$D$3:$D$13,ورقة1!B66,العمولة!$G$3:$G$14)</f>
        <v>0</v>
      </c>
    </row>
    <row r="67" spans="1:3" ht="18.75" hidden="1" x14ac:dyDescent="0.25">
      <c r="A67" s="91">
        <v>523</v>
      </c>
      <c r="B67" s="92" t="s">
        <v>1449</v>
      </c>
      <c r="C67" s="96">
        <f>SUMIF(العمولة!$D$3:$D$13,ورقة1!B67,العمولة!$G$3:$G$14)</f>
        <v>0</v>
      </c>
    </row>
    <row r="68" spans="1:3" ht="18.75" hidden="1" x14ac:dyDescent="0.25">
      <c r="A68" s="91">
        <v>527</v>
      </c>
      <c r="B68" s="92" t="s">
        <v>1450</v>
      </c>
      <c r="C68" s="96">
        <f>SUMIF(العمولة!$D$3:$D$13,ورقة1!B68,العمولة!$G$3:$G$14)</f>
        <v>0</v>
      </c>
    </row>
    <row r="69" spans="1:3" ht="18.75" hidden="1" x14ac:dyDescent="0.25">
      <c r="A69" s="91">
        <v>531</v>
      </c>
      <c r="B69" s="92" t="s">
        <v>1451</v>
      </c>
      <c r="C69" s="96">
        <f>SUMIF(العمولة!$D$3:$D$13,ورقة1!B69,العمولة!$G$3:$G$14)</f>
        <v>0</v>
      </c>
    </row>
    <row r="70" spans="1:3" ht="18.75" hidden="1" x14ac:dyDescent="0.25">
      <c r="A70" s="91">
        <v>534</v>
      </c>
      <c r="B70" s="92" t="s">
        <v>1452</v>
      </c>
      <c r="C70" s="96">
        <f>SUMIF(العمولة!$D$3:$D$13,ورقة1!B70,العمولة!$G$3:$G$14)</f>
        <v>0</v>
      </c>
    </row>
    <row r="71" spans="1:3" ht="18.75" hidden="1" x14ac:dyDescent="0.25">
      <c r="A71" s="91">
        <v>541</v>
      </c>
      <c r="B71" s="92" t="s">
        <v>1453</v>
      </c>
      <c r="C71" s="96">
        <f>SUMIF(العمولة!$D$3:$D$13,ورقة1!B71,العمولة!$G$3:$G$14)</f>
        <v>0</v>
      </c>
    </row>
    <row r="72" spans="1:3" ht="18.75" hidden="1" x14ac:dyDescent="0.25">
      <c r="A72" s="91">
        <v>544</v>
      </c>
      <c r="B72" s="92" t="s">
        <v>1454</v>
      </c>
      <c r="C72" s="96">
        <f>SUMIF(العمولة!$D$3:$D$13,ورقة1!B72,العمولة!$G$3:$G$14)</f>
        <v>0</v>
      </c>
    </row>
    <row r="73" spans="1:3" ht="18.75" hidden="1" x14ac:dyDescent="0.25">
      <c r="A73" s="91">
        <v>545</v>
      </c>
      <c r="B73" s="92" t="s">
        <v>1455</v>
      </c>
      <c r="C73" s="96">
        <f>SUMIF(العمولة!$D$3:$D$13,ورقة1!B73,العمولة!$G$3:$G$14)</f>
        <v>0</v>
      </c>
    </row>
    <row r="74" spans="1:3" ht="18.75" hidden="1" x14ac:dyDescent="0.25">
      <c r="A74" s="91">
        <v>554</v>
      </c>
      <c r="B74" s="92" t="s">
        <v>1456</v>
      </c>
      <c r="C74" s="96">
        <f>SUMIF(العمولة!$D$3:$D$13,ورقة1!B74,العمولة!$G$3:$G$14)</f>
        <v>0</v>
      </c>
    </row>
    <row r="75" spans="1:3" ht="18.75" hidden="1" x14ac:dyDescent="0.25">
      <c r="A75" s="91">
        <v>556</v>
      </c>
      <c r="B75" s="92" t="s">
        <v>1457</v>
      </c>
      <c r="C75" s="96">
        <f>SUMIF(العمولة!$D$3:$D$13,ورقة1!B75,العمولة!$G$3:$G$14)</f>
        <v>0</v>
      </c>
    </row>
    <row r="76" spans="1:3" ht="18.75" hidden="1" x14ac:dyDescent="0.25">
      <c r="A76" s="91">
        <v>558</v>
      </c>
      <c r="B76" s="92" t="s">
        <v>1458</v>
      </c>
      <c r="C76" s="96">
        <f>SUMIF(العمولة!$D$3:$D$13,ورقة1!B76,العمولة!$G$3:$G$14)</f>
        <v>0</v>
      </c>
    </row>
    <row r="77" spans="1:3" ht="18.75" hidden="1" x14ac:dyDescent="0.25">
      <c r="A77" s="91">
        <v>563</v>
      </c>
      <c r="B77" s="92" t="s">
        <v>1459</v>
      </c>
      <c r="C77" s="96">
        <f>SUMIF(العمولة!$D$3:$D$13,ورقة1!B77,العمولة!$G$3:$G$14)</f>
        <v>0</v>
      </c>
    </row>
    <row r="78" spans="1:3" ht="18.75" hidden="1" x14ac:dyDescent="0.25">
      <c r="A78" s="91">
        <v>571</v>
      </c>
      <c r="B78" s="92" t="s">
        <v>1460</v>
      </c>
      <c r="C78" s="96">
        <f>SUMIF(العمولة!$D$3:$D$13,ورقة1!B78,العمولة!$G$3:$G$14)</f>
        <v>0</v>
      </c>
    </row>
    <row r="79" spans="1:3" ht="18.75" hidden="1" x14ac:dyDescent="0.25">
      <c r="A79" s="91">
        <v>577</v>
      </c>
      <c r="B79" s="92" t="s">
        <v>1461</v>
      </c>
      <c r="C79" s="96">
        <f>SUMIF(العمولة!$D$3:$D$13,ورقة1!B79,العمولة!$G$3:$G$14)</f>
        <v>0</v>
      </c>
    </row>
    <row r="80" spans="1:3" ht="18.75" hidden="1" x14ac:dyDescent="0.25">
      <c r="A80" s="91">
        <v>581</v>
      </c>
      <c r="B80" s="92" t="s">
        <v>1462</v>
      </c>
      <c r="C80" s="96">
        <f>SUMIF(العمولة!$D$3:$D$13,ورقة1!B80,العمولة!$G$3:$G$14)</f>
        <v>0</v>
      </c>
    </row>
    <row r="81" spans="1:3" ht="18.75" hidden="1" x14ac:dyDescent="0.25">
      <c r="A81" s="91">
        <v>583</v>
      </c>
      <c r="B81" s="92" t="s">
        <v>1463</v>
      </c>
      <c r="C81" s="96">
        <f>SUMIF(العمولة!$D$3:$D$13,ورقة1!B81,العمولة!$G$3:$G$14)</f>
        <v>0</v>
      </c>
    </row>
    <row r="82" spans="1:3" ht="18.75" hidden="1" x14ac:dyDescent="0.25">
      <c r="A82" s="91">
        <v>588</v>
      </c>
      <c r="B82" s="92" t="s">
        <v>1464</v>
      </c>
      <c r="C82" s="96">
        <f>SUMIF(العمولة!$D$3:$D$13,ورقة1!B82,العمولة!$G$3:$G$14)</f>
        <v>0</v>
      </c>
    </row>
    <row r="83" spans="1:3" ht="18.75" hidden="1" x14ac:dyDescent="0.25">
      <c r="A83" s="91">
        <v>592</v>
      </c>
      <c r="B83" s="92" t="s">
        <v>1465</v>
      </c>
      <c r="C83" s="96">
        <f>SUMIF(العمولة!$D$3:$D$13,ورقة1!B83,العمولة!$G$3:$G$14)</f>
        <v>0</v>
      </c>
    </row>
    <row r="84" spans="1:3" ht="18.75" hidden="1" x14ac:dyDescent="0.25">
      <c r="A84" s="91">
        <v>594</v>
      </c>
      <c r="B84" s="92" t="s">
        <v>1466</v>
      </c>
      <c r="C84" s="96">
        <f>SUMIF(العمولة!$D$3:$D$13,ورقة1!B84,العمولة!$G$3:$G$14)</f>
        <v>0</v>
      </c>
    </row>
    <row r="85" spans="1:3" ht="18.75" hidden="1" x14ac:dyDescent="0.25">
      <c r="A85" s="91">
        <v>596</v>
      </c>
      <c r="B85" s="92" t="s">
        <v>1467</v>
      </c>
      <c r="C85" s="96">
        <f>SUMIF(العمولة!$D$3:$D$13,ورقة1!B85,العمولة!$G$3:$G$14)</f>
        <v>0</v>
      </c>
    </row>
    <row r="86" spans="1:3" ht="18.75" hidden="1" x14ac:dyDescent="0.25">
      <c r="A86" s="91">
        <v>599</v>
      </c>
      <c r="B86" s="92" t="s">
        <v>1468</v>
      </c>
      <c r="C86" s="96">
        <f>SUMIF(العمولة!$D$3:$D$13,ورقة1!B86,العمولة!$G$3:$G$14)</f>
        <v>0</v>
      </c>
    </row>
    <row r="87" spans="1:3" ht="18.75" hidden="1" x14ac:dyDescent="0.25">
      <c r="A87" s="91">
        <v>603</v>
      </c>
      <c r="B87" s="92" t="s">
        <v>1469</v>
      </c>
      <c r="C87" s="96">
        <f>SUMIF(العمولة!$D$3:$D$13,ورقة1!B87,العمولة!$G$3:$G$14)</f>
        <v>0</v>
      </c>
    </row>
    <row r="88" spans="1:3" ht="18.75" hidden="1" x14ac:dyDescent="0.25">
      <c r="A88" s="91">
        <v>609</v>
      </c>
      <c r="B88" s="92" t="s">
        <v>1470</v>
      </c>
      <c r="C88" s="96">
        <f>SUMIF(العمولة!$D$3:$D$13,ورقة1!B88,العمولة!$G$3:$G$14)</f>
        <v>0</v>
      </c>
    </row>
    <row r="89" spans="1:3" ht="18.75" hidden="1" x14ac:dyDescent="0.25">
      <c r="A89" s="91">
        <v>611</v>
      </c>
      <c r="B89" s="92" t="s">
        <v>1471</v>
      </c>
      <c r="C89" s="96">
        <f>SUMIF(العمولة!$D$3:$D$13,ورقة1!B89,العمولة!$G$3:$G$14)</f>
        <v>0</v>
      </c>
    </row>
    <row r="90" spans="1:3" ht="18.75" hidden="1" x14ac:dyDescent="0.25">
      <c r="A90" s="91">
        <v>612</v>
      </c>
      <c r="B90" s="92" t="s">
        <v>1472</v>
      </c>
      <c r="C90" s="96">
        <f>SUMIF(العمولة!$D$3:$D$13,ورقة1!B90,العمولة!$G$3:$G$14)</f>
        <v>0</v>
      </c>
    </row>
    <row r="91" spans="1:3" ht="18.75" hidden="1" x14ac:dyDescent="0.25">
      <c r="A91" s="91">
        <v>621</v>
      </c>
      <c r="B91" s="92" t="s">
        <v>1473</v>
      </c>
      <c r="C91" s="96">
        <f>SUMIF(العمولة!$D$3:$D$13,ورقة1!B91,العمولة!$G$3:$G$14)</f>
        <v>0</v>
      </c>
    </row>
    <row r="92" spans="1:3" ht="18.75" hidden="1" x14ac:dyDescent="0.25">
      <c r="A92" s="91">
        <v>629</v>
      </c>
      <c r="B92" s="92" t="s">
        <v>1474</v>
      </c>
      <c r="C92" s="96">
        <f>SUMIF(العمولة!$D$3:$D$13,ورقة1!B92,العمولة!$G$3:$G$14)</f>
        <v>0</v>
      </c>
    </row>
    <row r="93" spans="1:3" ht="18.75" hidden="1" x14ac:dyDescent="0.25">
      <c r="A93" s="91">
        <v>630</v>
      </c>
      <c r="B93" s="92" t="s">
        <v>1475</v>
      </c>
      <c r="C93" s="96">
        <f>SUMIF(العمولة!$D$3:$D$13,ورقة1!B93,العمولة!$G$3:$G$14)</f>
        <v>0</v>
      </c>
    </row>
    <row r="94" spans="1:3" ht="18.75" hidden="1" x14ac:dyDescent="0.25">
      <c r="A94" s="91">
        <v>640</v>
      </c>
      <c r="B94" s="92" t="s">
        <v>1476</v>
      </c>
      <c r="C94" s="96">
        <f>SUMIF(العمولة!$D$3:$D$13,ورقة1!B94,العمولة!$G$3:$G$14)</f>
        <v>0</v>
      </c>
    </row>
    <row r="95" spans="1:3" ht="18.75" hidden="1" x14ac:dyDescent="0.25">
      <c r="A95" s="91">
        <v>641</v>
      </c>
      <c r="B95" s="92" t="s">
        <v>1477</v>
      </c>
      <c r="C95" s="96">
        <f>SUMIF(العمولة!$D$3:$D$13,ورقة1!B95,العمولة!$G$3:$G$14)</f>
        <v>0</v>
      </c>
    </row>
    <row r="96" spans="1:3" ht="18.75" hidden="1" x14ac:dyDescent="0.25">
      <c r="A96" s="91">
        <v>642</v>
      </c>
      <c r="B96" s="92" t="s">
        <v>1478</v>
      </c>
      <c r="C96" s="96">
        <f>SUMIF(العمولة!$D$3:$D$13,ورقة1!B96,العمولة!$G$3:$G$14)</f>
        <v>0</v>
      </c>
    </row>
    <row r="97" spans="1:3" ht="18.75" hidden="1" x14ac:dyDescent="0.25">
      <c r="A97" s="91">
        <v>644</v>
      </c>
      <c r="B97" s="92" t="s">
        <v>1479</v>
      </c>
      <c r="C97" s="96">
        <f>SUMIF(العمولة!$D$3:$D$13,ورقة1!B97,العمولة!$G$3:$G$14)</f>
        <v>0</v>
      </c>
    </row>
    <row r="98" spans="1:3" ht="18.75" hidden="1" x14ac:dyDescent="0.25">
      <c r="A98" s="91">
        <v>645</v>
      </c>
      <c r="B98" s="92" t="s">
        <v>1480</v>
      </c>
      <c r="C98" s="96">
        <f>SUMIF(العمولة!$D$3:$D$13,ورقة1!B98,العمولة!$G$3:$G$14)</f>
        <v>0</v>
      </c>
    </row>
    <row r="99" spans="1:3" ht="18.75" hidden="1" x14ac:dyDescent="0.25">
      <c r="A99" s="91">
        <v>648</v>
      </c>
      <c r="B99" s="92" t="s">
        <v>1481</v>
      </c>
      <c r="C99" s="96">
        <f>SUMIF(العمولة!$D$3:$D$13,ورقة1!B99,العمولة!$G$3:$G$14)</f>
        <v>0</v>
      </c>
    </row>
    <row r="100" spans="1:3" ht="18.75" hidden="1" x14ac:dyDescent="0.25">
      <c r="A100" s="91">
        <v>655</v>
      </c>
      <c r="B100" s="92" t="s">
        <v>1482</v>
      </c>
      <c r="C100" s="96">
        <f>SUMIF(العمولة!$D$3:$D$13,ورقة1!B100,العمولة!$G$3:$G$14)</f>
        <v>0</v>
      </c>
    </row>
    <row r="101" spans="1:3" ht="18.75" hidden="1" x14ac:dyDescent="0.25">
      <c r="A101" s="91">
        <v>657</v>
      </c>
      <c r="B101" s="92" t="s">
        <v>1483</v>
      </c>
      <c r="C101" s="96">
        <f>SUMIF(العمولة!$D$3:$D$13,ورقة1!B101,العمولة!$G$3:$G$14)</f>
        <v>0</v>
      </c>
    </row>
    <row r="102" spans="1:3" ht="18.75" hidden="1" x14ac:dyDescent="0.25">
      <c r="A102" s="91">
        <v>659</v>
      </c>
      <c r="B102" s="92" t="s">
        <v>1484</v>
      </c>
      <c r="C102" s="96">
        <f>SUMIF(العمولة!$D$3:$D$13,ورقة1!B102,العمولة!$G$3:$G$14)</f>
        <v>0</v>
      </c>
    </row>
    <row r="103" spans="1:3" ht="18.75" hidden="1" x14ac:dyDescent="0.25">
      <c r="A103" s="91">
        <v>661</v>
      </c>
      <c r="B103" s="92" t="s">
        <v>1485</v>
      </c>
      <c r="C103" s="96">
        <f>SUMIF(العمولة!$D$3:$D$13,ورقة1!B103,العمولة!$G$3:$G$14)</f>
        <v>0</v>
      </c>
    </row>
    <row r="104" spans="1:3" ht="18.75" hidden="1" x14ac:dyDescent="0.25">
      <c r="A104" s="91">
        <v>662</v>
      </c>
      <c r="B104" s="92" t="s">
        <v>1486</v>
      </c>
      <c r="C104" s="96">
        <f>SUMIF(العمولة!$D$3:$D$13,ورقة1!B104,العمولة!$G$3:$G$14)</f>
        <v>0</v>
      </c>
    </row>
    <row r="105" spans="1:3" ht="18.75" hidden="1" x14ac:dyDescent="0.25">
      <c r="A105" s="91">
        <v>668</v>
      </c>
      <c r="B105" s="92" t="s">
        <v>1487</v>
      </c>
      <c r="C105" s="96">
        <f>SUMIF(العمولة!$D$3:$D$13,ورقة1!B105,العمولة!$G$3:$G$14)</f>
        <v>0</v>
      </c>
    </row>
    <row r="106" spans="1:3" ht="18.75" hidden="1" x14ac:dyDescent="0.25">
      <c r="A106" s="91">
        <v>673</v>
      </c>
      <c r="B106" s="92" t="s">
        <v>1488</v>
      </c>
      <c r="C106" s="96">
        <f>SUMIF(العمولة!$D$3:$D$13,ورقة1!B106,العمولة!$G$3:$G$14)</f>
        <v>0</v>
      </c>
    </row>
    <row r="107" spans="1:3" ht="18.75" hidden="1" x14ac:dyDescent="0.25">
      <c r="A107" s="91">
        <v>675</v>
      </c>
      <c r="B107" s="92" t="s">
        <v>1489</v>
      </c>
      <c r="C107" s="96">
        <f>SUMIF(العمولة!$D$3:$D$13,ورقة1!B107,العمولة!$G$3:$G$14)</f>
        <v>0</v>
      </c>
    </row>
    <row r="108" spans="1:3" ht="18.75" hidden="1" x14ac:dyDescent="0.25">
      <c r="A108" s="91">
        <v>688</v>
      </c>
      <c r="B108" s="92" t="s">
        <v>1490</v>
      </c>
      <c r="C108" s="96">
        <f>SUMIF(العمولة!$D$3:$D$13,ورقة1!B108,العمولة!$G$3:$G$14)</f>
        <v>0</v>
      </c>
    </row>
    <row r="109" spans="1:3" ht="18.75" hidden="1" x14ac:dyDescent="0.25">
      <c r="A109" s="91">
        <v>692</v>
      </c>
      <c r="B109" s="92" t="s">
        <v>1491</v>
      </c>
      <c r="C109" s="96">
        <f>SUMIF(العمولة!$D$3:$D$13,ورقة1!B109,العمولة!$G$3:$G$14)</f>
        <v>0</v>
      </c>
    </row>
    <row r="110" spans="1:3" ht="18.75" hidden="1" x14ac:dyDescent="0.25">
      <c r="A110" s="91">
        <v>701</v>
      </c>
      <c r="B110" s="92" t="s">
        <v>1492</v>
      </c>
      <c r="C110" s="96">
        <f>SUMIF(العمولة!$D$3:$D$13,ورقة1!B110,العمولة!$G$3:$G$14)</f>
        <v>0</v>
      </c>
    </row>
    <row r="111" spans="1:3" ht="18.75" hidden="1" x14ac:dyDescent="0.25">
      <c r="A111" s="91">
        <v>702</v>
      </c>
      <c r="B111" s="92" t="s">
        <v>1493</v>
      </c>
      <c r="C111" s="96">
        <f>SUMIF(العمولة!$D$3:$D$13,ورقة1!B111,العمولة!$G$3:$G$14)</f>
        <v>0</v>
      </c>
    </row>
    <row r="112" spans="1:3" ht="18.75" hidden="1" x14ac:dyDescent="0.25">
      <c r="A112" s="91">
        <v>703</v>
      </c>
      <c r="B112" s="92" t="s">
        <v>1494</v>
      </c>
      <c r="C112" s="96">
        <f>SUMIF(العمولة!$D$3:$D$13,ورقة1!B112,العمولة!$G$3:$G$14)</f>
        <v>0</v>
      </c>
    </row>
    <row r="113" spans="1:3" ht="18.75" hidden="1" x14ac:dyDescent="0.25">
      <c r="A113" s="91">
        <v>705</v>
      </c>
      <c r="B113" s="92" t="s">
        <v>1495</v>
      </c>
      <c r="C113" s="96">
        <f>SUMIF(العمولة!$D$3:$D$13,ورقة1!B113,العمولة!$G$3:$G$14)</f>
        <v>0</v>
      </c>
    </row>
    <row r="114" spans="1:3" ht="18.75" hidden="1" x14ac:dyDescent="0.25">
      <c r="A114" s="91">
        <v>706</v>
      </c>
      <c r="B114" s="92" t="s">
        <v>1496</v>
      </c>
      <c r="C114" s="96">
        <f>SUMIF(العمولة!$D$3:$D$13,ورقة1!B114,العمولة!$G$3:$G$14)</f>
        <v>0</v>
      </c>
    </row>
    <row r="115" spans="1:3" ht="18.75" hidden="1" x14ac:dyDescent="0.25">
      <c r="A115" s="91">
        <v>707</v>
      </c>
      <c r="B115" s="92" t="s">
        <v>1497</v>
      </c>
      <c r="C115" s="96">
        <f>SUMIF(العمولة!$D$3:$D$13,ورقة1!B115,العمولة!$G$3:$G$14)</f>
        <v>0</v>
      </c>
    </row>
    <row r="116" spans="1:3" ht="18.75" hidden="1" x14ac:dyDescent="0.25">
      <c r="A116" s="91">
        <v>710</v>
      </c>
      <c r="B116" s="92" t="s">
        <v>1498</v>
      </c>
      <c r="C116" s="96">
        <f>SUMIF(العمولة!$D$3:$D$13,ورقة1!B116,العمولة!$G$3:$G$14)</f>
        <v>0</v>
      </c>
    </row>
    <row r="117" spans="1:3" ht="18.75" hidden="1" x14ac:dyDescent="0.25">
      <c r="A117" s="91">
        <v>712</v>
      </c>
      <c r="B117" s="92" t="s">
        <v>1499</v>
      </c>
      <c r="C117" s="96">
        <f>SUMIF(العمولة!$D$3:$D$13,ورقة1!B117,العمولة!$G$3:$G$14)</f>
        <v>0</v>
      </c>
    </row>
    <row r="118" spans="1:3" ht="18.75" hidden="1" x14ac:dyDescent="0.25">
      <c r="A118" s="91">
        <v>718</v>
      </c>
      <c r="B118" s="92" t="s">
        <v>1500</v>
      </c>
      <c r="C118" s="96">
        <f>SUMIF(العمولة!$D$3:$D$13,ورقة1!B118,العمولة!$G$3:$G$14)</f>
        <v>0</v>
      </c>
    </row>
    <row r="119" spans="1:3" ht="18.75" hidden="1" x14ac:dyDescent="0.25">
      <c r="A119" s="91">
        <v>721</v>
      </c>
      <c r="B119" s="92" t="s">
        <v>1501</v>
      </c>
      <c r="C119" s="96">
        <f>SUMIF(العمولة!$D$3:$D$13,ورقة1!B119,العمولة!$G$3:$G$14)</f>
        <v>0</v>
      </c>
    </row>
    <row r="120" spans="1:3" ht="18.75" hidden="1" x14ac:dyDescent="0.25">
      <c r="A120" s="91">
        <v>722</v>
      </c>
      <c r="B120" s="92" t="s">
        <v>1502</v>
      </c>
      <c r="C120" s="96">
        <f>SUMIF(العمولة!$D$3:$D$13,ورقة1!B120,العمولة!$G$3:$G$14)</f>
        <v>0</v>
      </c>
    </row>
    <row r="121" spans="1:3" ht="18.75" hidden="1" x14ac:dyDescent="0.25">
      <c r="A121" s="91">
        <v>723</v>
      </c>
      <c r="B121" s="92" t="s">
        <v>1503</v>
      </c>
      <c r="C121" s="96">
        <f>SUMIF(العمولة!$D$3:$D$13,ورقة1!B121,العمولة!$G$3:$G$14)</f>
        <v>0</v>
      </c>
    </row>
    <row r="122" spans="1:3" ht="18.75" hidden="1" x14ac:dyDescent="0.25">
      <c r="A122" s="91">
        <v>724</v>
      </c>
      <c r="B122" s="92" t="s">
        <v>1504</v>
      </c>
      <c r="C122" s="96">
        <f>SUMIF(العمولة!$D$3:$D$13,ورقة1!B122,العمولة!$G$3:$G$14)</f>
        <v>0</v>
      </c>
    </row>
    <row r="123" spans="1:3" ht="18.75" hidden="1" x14ac:dyDescent="0.25">
      <c r="A123" s="91">
        <v>725</v>
      </c>
      <c r="B123" s="92" t="s">
        <v>1505</v>
      </c>
      <c r="C123" s="96">
        <f>SUMIF(العمولة!$D$3:$D$13,ورقة1!B123,العمولة!$G$3:$G$14)</f>
        <v>0</v>
      </c>
    </row>
    <row r="124" spans="1:3" ht="18.75" hidden="1" x14ac:dyDescent="0.25">
      <c r="A124" s="91">
        <v>729</v>
      </c>
      <c r="B124" s="92" t="s">
        <v>1506</v>
      </c>
      <c r="C124" s="96">
        <f>SUMIF(العمولة!$D$3:$D$13,ورقة1!B124,العمولة!$G$3:$G$14)</f>
        <v>0</v>
      </c>
    </row>
    <row r="125" spans="1:3" ht="18.75" hidden="1" x14ac:dyDescent="0.25">
      <c r="A125" s="91">
        <v>731</v>
      </c>
      <c r="B125" s="92" t="s">
        <v>1507</v>
      </c>
      <c r="C125" s="96">
        <f>SUMIF(العمولة!$D$3:$D$13,ورقة1!B125,العمولة!$G$3:$G$14)</f>
        <v>0</v>
      </c>
    </row>
    <row r="126" spans="1:3" ht="18.75" x14ac:dyDescent="0.25">
      <c r="A126" s="91">
        <v>732</v>
      </c>
      <c r="B126" s="92" t="s">
        <v>1361</v>
      </c>
      <c r="C126" s="96">
        <f>SUMIF(العمولة!$D$3:$D$13,ورقة1!B126,العمولة!$G$3:$G$14)</f>
        <v>2475.3049999999998</v>
      </c>
    </row>
    <row r="127" spans="1:3" ht="18.75" hidden="1" x14ac:dyDescent="0.25">
      <c r="A127" s="91">
        <v>734</v>
      </c>
      <c r="B127" s="92" t="s">
        <v>1508</v>
      </c>
      <c r="C127" s="96">
        <f>SUMIF(العمولة!$D$3:$D$13,ورقة1!B127,العمولة!$G$3:$G$14)</f>
        <v>0</v>
      </c>
    </row>
    <row r="128" spans="1:3" ht="18.75" hidden="1" x14ac:dyDescent="0.25">
      <c r="A128" s="91">
        <v>735</v>
      </c>
      <c r="B128" s="92" t="s">
        <v>1509</v>
      </c>
      <c r="C128" s="96">
        <f>SUMIF(العمولة!$D$3:$D$13,ورقة1!B128,العمولة!$G$3:$G$14)</f>
        <v>0</v>
      </c>
    </row>
    <row r="129" spans="1:3" ht="18.75" hidden="1" x14ac:dyDescent="0.25">
      <c r="A129" s="91">
        <v>738</v>
      </c>
      <c r="B129" s="92" t="s">
        <v>1510</v>
      </c>
      <c r="C129" s="96">
        <f>SUMIF(العمولة!$D$3:$D$13,ورقة1!B129,العمولة!$G$3:$G$14)</f>
        <v>0</v>
      </c>
    </row>
    <row r="130" spans="1:3" ht="18.75" hidden="1" x14ac:dyDescent="0.25">
      <c r="A130" s="91">
        <v>739</v>
      </c>
      <c r="B130" s="92" t="s">
        <v>1511</v>
      </c>
      <c r="C130" s="96">
        <f>SUMIF(العمولة!$D$3:$D$13,ورقة1!B130,العمولة!$G$3:$G$14)</f>
        <v>0</v>
      </c>
    </row>
    <row r="131" spans="1:3" ht="18.75" hidden="1" x14ac:dyDescent="0.25">
      <c r="A131" s="91">
        <v>741</v>
      </c>
      <c r="B131" s="92" t="s">
        <v>1512</v>
      </c>
      <c r="C131" s="96">
        <f>SUMIF(العمولة!$D$3:$D$13,ورقة1!B131,العمولة!$G$3:$G$14)</f>
        <v>0</v>
      </c>
    </row>
    <row r="132" spans="1:3" ht="18.75" hidden="1" x14ac:dyDescent="0.25">
      <c r="A132" s="91">
        <v>742</v>
      </c>
      <c r="B132" s="92" t="s">
        <v>1513</v>
      </c>
      <c r="C132" s="96">
        <f>SUMIF(العمولة!$D$3:$D$13,ورقة1!B132,العمولة!$G$3:$G$14)</f>
        <v>0</v>
      </c>
    </row>
    <row r="133" spans="1:3" ht="18.75" hidden="1" x14ac:dyDescent="0.25">
      <c r="A133" s="91">
        <v>743</v>
      </c>
      <c r="B133" s="92" t="s">
        <v>1514</v>
      </c>
      <c r="C133" s="96">
        <f>SUMIF(العمولة!$D$3:$D$13,ورقة1!B133,العمولة!$G$3:$G$14)</f>
        <v>0</v>
      </c>
    </row>
    <row r="134" spans="1:3" ht="18.75" hidden="1" x14ac:dyDescent="0.25">
      <c r="A134" s="91">
        <v>744</v>
      </c>
      <c r="B134" s="92" t="s">
        <v>1515</v>
      </c>
      <c r="C134" s="96">
        <f>SUMIF(العمولة!$D$3:$D$13,ورقة1!B134,العمولة!$G$3:$G$14)</f>
        <v>0</v>
      </c>
    </row>
    <row r="135" spans="1:3" ht="18.75" hidden="1" x14ac:dyDescent="0.25">
      <c r="A135" s="91">
        <v>745</v>
      </c>
      <c r="B135" s="92" t="s">
        <v>1516</v>
      </c>
      <c r="C135" s="96">
        <f>SUMIF(العمولة!$D$3:$D$13,ورقة1!B135,العمولة!$G$3:$G$14)</f>
        <v>0</v>
      </c>
    </row>
    <row r="136" spans="1:3" ht="18.75" hidden="1" x14ac:dyDescent="0.25">
      <c r="A136" s="91">
        <v>746</v>
      </c>
      <c r="B136" s="92" t="s">
        <v>1517</v>
      </c>
      <c r="C136" s="96">
        <f>SUMIF(العمولة!$D$3:$D$13,ورقة1!B136,العمولة!$G$3:$G$14)</f>
        <v>0</v>
      </c>
    </row>
    <row r="137" spans="1:3" ht="18.75" hidden="1" x14ac:dyDescent="0.25">
      <c r="A137" s="91">
        <v>747</v>
      </c>
      <c r="B137" s="92" t="s">
        <v>1518</v>
      </c>
      <c r="C137" s="96">
        <f>SUMIF(العمولة!$D$3:$D$13,ورقة1!B137,العمولة!$G$3:$G$14)</f>
        <v>0</v>
      </c>
    </row>
    <row r="138" spans="1:3" ht="18.75" hidden="1" x14ac:dyDescent="0.25">
      <c r="A138" s="91">
        <v>748</v>
      </c>
      <c r="B138" s="92" t="s">
        <v>1519</v>
      </c>
      <c r="C138" s="96">
        <f>SUMIF(العمولة!$D$3:$D$13,ورقة1!B138,العمولة!$G$3:$G$14)</f>
        <v>0</v>
      </c>
    </row>
    <row r="139" spans="1:3" ht="18.75" hidden="1" x14ac:dyDescent="0.25">
      <c r="A139" s="91">
        <v>749</v>
      </c>
      <c r="B139" s="92" t="s">
        <v>1520</v>
      </c>
      <c r="C139" s="96">
        <f>SUMIF(العمولة!$D$3:$D$13,ورقة1!B139,العمولة!$G$3:$G$14)</f>
        <v>0</v>
      </c>
    </row>
    <row r="140" spans="1:3" ht="18.75" hidden="1" x14ac:dyDescent="0.25">
      <c r="A140" s="91">
        <v>751</v>
      </c>
      <c r="B140" s="92" t="s">
        <v>1521</v>
      </c>
      <c r="C140" s="96">
        <f>SUMIF(العمولة!$D$3:$D$13,ورقة1!B140,العمولة!$G$3:$G$14)</f>
        <v>0</v>
      </c>
    </row>
    <row r="141" spans="1:3" ht="18.75" hidden="1" x14ac:dyDescent="0.25">
      <c r="A141" s="91">
        <v>753</v>
      </c>
      <c r="B141" s="92" t="s">
        <v>1522</v>
      </c>
      <c r="C141" s="96">
        <f>SUMIF(العمولة!$D$3:$D$13,ورقة1!B141,العمولة!$G$3:$G$14)</f>
        <v>0</v>
      </c>
    </row>
    <row r="142" spans="1:3" ht="18.75" hidden="1" x14ac:dyDescent="0.25">
      <c r="A142" s="91">
        <v>754</v>
      </c>
      <c r="B142" s="92" t="s">
        <v>1523</v>
      </c>
      <c r="C142" s="96">
        <f>SUMIF(العمولة!$D$3:$D$13,ورقة1!B142,العمولة!$G$3:$G$14)</f>
        <v>0</v>
      </c>
    </row>
    <row r="143" spans="1:3" ht="18.75" hidden="1" x14ac:dyDescent="0.25">
      <c r="A143" s="91">
        <v>755</v>
      </c>
      <c r="B143" s="92" t="s">
        <v>1524</v>
      </c>
      <c r="C143" s="96">
        <f>SUMIF(العمولة!$D$3:$D$13,ورقة1!B143,العمولة!$G$3:$G$14)</f>
        <v>0</v>
      </c>
    </row>
    <row r="144" spans="1:3" ht="18.75" hidden="1" x14ac:dyDescent="0.25">
      <c r="A144" s="91">
        <v>756</v>
      </c>
      <c r="B144" s="92" t="s">
        <v>1525</v>
      </c>
      <c r="C144" s="96">
        <f>SUMIF(العمولة!$D$3:$D$13,ورقة1!B144,العمولة!$G$3:$G$14)</f>
        <v>0</v>
      </c>
    </row>
    <row r="145" spans="1:3" ht="18.75" hidden="1" x14ac:dyDescent="0.25">
      <c r="A145" s="91">
        <v>757</v>
      </c>
      <c r="B145" s="92" t="s">
        <v>1526</v>
      </c>
      <c r="C145" s="96">
        <f>SUMIF(العمولة!$D$3:$D$13,ورقة1!B145,العمولة!$G$3:$G$14)</f>
        <v>0</v>
      </c>
    </row>
    <row r="146" spans="1:3" ht="18.75" hidden="1" x14ac:dyDescent="0.25">
      <c r="A146" s="91">
        <v>758</v>
      </c>
      <c r="B146" s="92" t="s">
        <v>1527</v>
      </c>
      <c r="C146" s="96">
        <f>SUMIF(العمولة!$D$3:$D$13,ورقة1!B146,العمولة!$G$3:$G$14)</f>
        <v>0</v>
      </c>
    </row>
    <row r="147" spans="1:3" ht="18.75" hidden="1" x14ac:dyDescent="0.25">
      <c r="A147" s="91">
        <v>759</v>
      </c>
      <c r="B147" s="92" t="s">
        <v>1528</v>
      </c>
      <c r="C147" s="96">
        <f>SUMIF(العمولة!$D$3:$D$13,ورقة1!B147,العمولة!$G$3:$G$14)</f>
        <v>0</v>
      </c>
    </row>
    <row r="148" spans="1:3" ht="18.75" hidden="1" x14ac:dyDescent="0.25">
      <c r="A148" s="91">
        <v>760</v>
      </c>
      <c r="B148" s="92" t="s">
        <v>1529</v>
      </c>
      <c r="C148" s="96">
        <f>SUMIF(العمولة!$D$3:$D$13,ورقة1!B148,العمولة!$G$3:$G$14)</f>
        <v>0</v>
      </c>
    </row>
    <row r="149" spans="1:3" ht="18.75" hidden="1" x14ac:dyDescent="0.25">
      <c r="A149" s="91">
        <v>761</v>
      </c>
      <c r="B149" s="92" t="s">
        <v>1530</v>
      </c>
      <c r="C149" s="96">
        <f>SUMIF(العمولة!$D$3:$D$13,ورقة1!B149,العمولة!$G$3:$G$14)</f>
        <v>0</v>
      </c>
    </row>
    <row r="150" spans="1:3" ht="18.75" hidden="1" x14ac:dyDescent="0.25">
      <c r="A150" s="91">
        <v>762</v>
      </c>
      <c r="B150" s="92" t="s">
        <v>1531</v>
      </c>
      <c r="C150" s="96">
        <f>SUMIF(العمولة!$D$3:$D$13,ورقة1!B150,العمولة!$G$3:$G$14)</f>
        <v>0</v>
      </c>
    </row>
    <row r="151" spans="1:3" ht="18.75" x14ac:dyDescent="0.25">
      <c r="A151" s="91">
        <v>763</v>
      </c>
      <c r="B151" s="92" t="s">
        <v>1360</v>
      </c>
      <c r="C151" s="96">
        <f>SUMIF(العمولة!$D$3:$D$13,ورقة1!B151,العمولة!$G$3:$G$14)</f>
        <v>837.43499999999995</v>
      </c>
    </row>
    <row r="152" spans="1:3" ht="18.75" hidden="1" x14ac:dyDescent="0.25">
      <c r="A152" s="91">
        <v>764</v>
      </c>
      <c r="B152" s="92" t="s">
        <v>1532</v>
      </c>
      <c r="C152" s="96">
        <f>SUMIF(العمولة!$D$3:$D$13,ورقة1!B152,العمولة!$G$3:$G$14)</f>
        <v>0</v>
      </c>
    </row>
    <row r="153" spans="1:3" ht="18.75" hidden="1" x14ac:dyDescent="0.25">
      <c r="A153" s="91">
        <v>765</v>
      </c>
      <c r="B153" s="92" t="s">
        <v>1533</v>
      </c>
      <c r="C153" s="96">
        <f>SUMIF(العمولة!$D$3:$D$13,ورقة1!B153,العمولة!$G$3:$G$14)</f>
        <v>0</v>
      </c>
    </row>
    <row r="154" spans="1:3" ht="18.75" hidden="1" x14ac:dyDescent="0.25">
      <c r="A154" s="91">
        <v>766</v>
      </c>
      <c r="B154" s="92" t="s">
        <v>1534</v>
      </c>
      <c r="C154" s="96">
        <f>SUMIF(العمولة!$D$3:$D$13,ورقة1!B154,العمولة!$G$3:$G$14)</f>
        <v>0</v>
      </c>
    </row>
    <row r="155" spans="1:3" ht="18.75" hidden="1" x14ac:dyDescent="0.25">
      <c r="A155" s="91">
        <v>767</v>
      </c>
      <c r="B155" s="92" t="s">
        <v>1535</v>
      </c>
      <c r="C155" s="96">
        <f>SUMIF(العمولة!$D$3:$D$13,ورقة1!B155,العمولة!$G$3:$G$14)</f>
        <v>0</v>
      </c>
    </row>
    <row r="156" spans="1:3" ht="18.75" hidden="1" x14ac:dyDescent="0.25">
      <c r="A156" s="91">
        <v>768</v>
      </c>
      <c r="B156" s="92" t="s">
        <v>1536</v>
      </c>
      <c r="C156" s="96">
        <f>SUMIF(العمولة!$D$3:$D$13,ورقة1!B156,العمولة!$G$3:$G$14)</f>
        <v>0</v>
      </c>
    </row>
    <row r="157" spans="1:3" ht="18.75" hidden="1" x14ac:dyDescent="0.25">
      <c r="A157" s="91">
        <v>769</v>
      </c>
      <c r="B157" s="92" t="s">
        <v>1537</v>
      </c>
      <c r="C157" s="96">
        <f>SUMIF(العمولة!$D$3:$D$13,ورقة1!B157,العمولة!$G$3:$G$14)</f>
        <v>0</v>
      </c>
    </row>
    <row r="158" spans="1:3" ht="18.75" hidden="1" x14ac:dyDescent="0.25">
      <c r="A158" s="91">
        <v>770</v>
      </c>
      <c r="B158" s="92" t="s">
        <v>1538</v>
      </c>
      <c r="C158" s="96">
        <f>SUMIF(العمولة!$D$3:$D$13,ورقة1!B158,العمولة!$G$3:$G$14)</f>
        <v>0</v>
      </c>
    </row>
    <row r="159" spans="1:3" ht="18.75" hidden="1" x14ac:dyDescent="0.25">
      <c r="A159" s="91">
        <v>771</v>
      </c>
      <c r="B159" s="92" t="s">
        <v>1539</v>
      </c>
      <c r="C159" s="96">
        <f>SUMIF(العمولة!$D$3:$D$13,ورقة1!B159,العمولة!$G$3:$G$14)</f>
        <v>0</v>
      </c>
    </row>
    <row r="160" spans="1:3" ht="18.75" x14ac:dyDescent="0.25">
      <c r="A160" s="91">
        <v>772</v>
      </c>
      <c r="B160" s="92" t="s">
        <v>1358</v>
      </c>
      <c r="C160" s="96">
        <f>SUMIF(العمولة!$D$3:$D$13,ورقة1!B160,العمولة!$G$3:$G$14)</f>
        <v>1604.45</v>
      </c>
    </row>
    <row r="161" spans="1:3" ht="18.75" hidden="1" x14ac:dyDescent="0.25">
      <c r="A161" s="91">
        <v>773</v>
      </c>
      <c r="B161" s="92" t="s">
        <v>1540</v>
      </c>
      <c r="C161" s="96">
        <f>SUMIF(العمولة!$D$3:$D$13,ورقة1!B161,العمولة!$G$3:$G$14)</f>
        <v>0</v>
      </c>
    </row>
    <row r="162" spans="1:3" ht="18.75" hidden="1" x14ac:dyDescent="0.25">
      <c r="A162" s="91">
        <v>774</v>
      </c>
      <c r="B162" s="92" t="s">
        <v>1541</v>
      </c>
      <c r="C162" s="96">
        <f>SUMIF(العمولة!$D$3:$D$13,ورقة1!B162,العمولة!$G$3:$G$14)</f>
        <v>0</v>
      </c>
    </row>
    <row r="163" spans="1:3" ht="18.75" hidden="1" x14ac:dyDescent="0.25">
      <c r="A163" s="91">
        <v>775</v>
      </c>
      <c r="B163" s="92" t="s">
        <v>1542</v>
      </c>
      <c r="C163" s="96">
        <f>SUMIF(العمولة!$D$3:$D$13,ورقة1!B163,العمولة!$G$3:$G$14)</f>
        <v>0</v>
      </c>
    </row>
    <row r="164" spans="1:3" ht="18.75" hidden="1" x14ac:dyDescent="0.25">
      <c r="A164" s="91">
        <v>776</v>
      </c>
      <c r="B164" s="92" t="s">
        <v>1543</v>
      </c>
      <c r="C164" s="96">
        <f>SUMIF(العمولة!$D$3:$D$13,ورقة1!B164,العمولة!$G$3:$G$14)</f>
        <v>0</v>
      </c>
    </row>
    <row r="165" spans="1:3" ht="18.75" hidden="1" x14ac:dyDescent="0.25">
      <c r="A165" s="91">
        <v>777</v>
      </c>
      <c r="B165" s="92" t="s">
        <v>1544</v>
      </c>
      <c r="C165" s="96">
        <f>SUMIF(العمولة!$D$3:$D$13,ورقة1!B165,العمولة!$G$3:$G$14)</f>
        <v>0</v>
      </c>
    </row>
    <row r="166" spans="1:3" ht="18.75" hidden="1" x14ac:dyDescent="0.25">
      <c r="A166" s="91">
        <v>778</v>
      </c>
      <c r="B166" s="92" t="s">
        <v>1545</v>
      </c>
      <c r="C166" s="96">
        <f>SUMIF(العمولة!$D$3:$D$13,ورقة1!B166,العمولة!$G$3:$G$14)</f>
        <v>0</v>
      </c>
    </row>
    <row r="167" spans="1:3" ht="18.75" hidden="1" x14ac:dyDescent="0.25">
      <c r="A167" s="91">
        <v>779</v>
      </c>
      <c r="B167" s="92" t="s">
        <v>1546</v>
      </c>
      <c r="C167" s="96">
        <f>SUMIF(العمولة!$D$3:$D$13,ورقة1!B167,العمولة!$G$3:$G$14)</f>
        <v>0</v>
      </c>
    </row>
    <row r="168" spans="1:3" ht="18.75" hidden="1" x14ac:dyDescent="0.25">
      <c r="A168" s="91">
        <v>780</v>
      </c>
      <c r="B168" s="92" t="s">
        <v>1547</v>
      </c>
      <c r="C168" s="96">
        <f>SUMIF(العمولة!$D$3:$D$13,ورقة1!B168,العمولة!$G$3:$G$14)</f>
        <v>0</v>
      </c>
    </row>
    <row r="169" spans="1:3" ht="18.75" hidden="1" x14ac:dyDescent="0.25">
      <c r="A169" s="91">
        <v>781</v>
      </c>
      <c r="B169" s="92" t="s">
        <v>1548</v>
      </c>
      <c r="C169" s="96">
        <f>SUMIF(العمولة!$D$3:$D$13,ورقة1!B169,العمولة!$G$3:$G$14)</f>
        <v>0</v>
      </c>
    </row>
    <row r="170" spans="1:3" ht="18.75" hidden="1" x14ac:dyDescent="0.25">
      <c r="A170" s="91">
        <v>782</v>
      </c>
      <c r="B170" s="92" t="s">
        <v>1549</v>
      </c>
      <c r="C170" s="96">
        <f>SUMIF(العمولة!$D$3:$D$13,ورقة1!B170,العمولة!$G$3:$G$14)</f>
        <v>0</v>
      </c>
    </row>
    <row r="171" spans="1:3" ht="18.75" hidden="1" x14ac:dyDescent="0.25">
      <c r="A171" s="91">
        <v>783</v>
      </c>
      <c r="B171" s="92" t="s">
        <v>1550</v>
      </c>
      <c r="C171" s="96">
        <f>SUMIF(العمولة!$D$3:$D$13,ورقة1!B171,العمولة!$G$3:$G$14)</f>
        <v>0</v>
      </c>
    </row>
    <row r="172" spans="1:3" ht="18.75" hidden="1" x14ac:dyDescent="0.25">
      <c r="A172" s="91">
        <v>784</v>
      </c>
      <c r="B172" s="92" t="s">
        <v>1551</v>
      </c>
      <c r="C172" s="96">
        <f>SUMIF(العمولة!$D$3:$D$13,ورقة1!B172,العمولة!$G$3:$G$14)</f>
        <v>0</v>
      </c>
    </row>
    <row r="173" spans="1:3" ht="18.75" hidden="1" x14ac:dyDescent="0.25">
      <c r="A173" s="91">
        <v>785</v>
      </c>
      <c r="B173" s="92" t="s">
        <v>1552</v>
      </c>
      <c r="C173" s="96">
        <f>SUMIF(العمولة!$D$3:$D$13,ورقة1!B173,العمولة!$G$3:$G$14)</f>
        <v>0</v>
      </c>
    </row>
    <row r="174" spans="1:3" ht="18.75" hidden="1" x14ac:dyDescent="0.25">
      <c r="A174" s="91">
        <v>786</v>
      </c>
      <c r="B174" s="92" t="s">
        <v>1553</v>
      </c>
      <c r="C174" s="96">
        <f>SUMIF(العمولة!$D$3:$D$13,ورقة1!B174,العمولة!$G$3:$G$14)</f>
        <v>0</v>
      </c>
    </row>
    <row r="175" spans="1:3" ht="18.75" hidden="1" x14ac:dyDescent="0.25">
      <c r="A175" s="91">
        <v>787</v>
      </c>
      <c r="B175" s="92" t="s">
        <v>1554</v>
      </c>
      <c r="C175" s="96">
        <f>SUMIF(العمولة!$D$3:$D$13,ورقة1!B175,العمولة!$G$3:$G$14)</f>
        <v>0</v>
      </c>
    </row>
    <row r="176" spans="1:3" ht="18.75" hidden="1" x14ac:dyDescent="0.25">
      <c r="A176" s="91">
        <v>788</v>
      </c>
      <c r="B176" s="92" t="s">
        <v>1555</v>
      </c>
      <c r="C176" s="96">
        <f>SUMIF(العمولة!$D$3:$D$13,ورقة1!B176,العمولة!$G$3:$G$14)</f>
        <v>0</v>
      </c>
    </row>
    <row r="177" spans="1:3" ht="18.75" hidden="1" x14ac:dyDescent="0.25">
      <c r="A177" s="91">
        <v>789</v>
      </c>
      <c r="B177" s="92" t="s">
        <v>1556</v>
      </c>
      <c r="C177" s="96">
        <f>SUMIF(العمولة!$D$3:$D$13,ورقة1!B177,العمولة!$G$3:$G$14)</f>
        <v>0</v>
      </c>
    </row>
    <row r="178" spans="1:3" ht="18.75" hidden="1" x14ac:dyDescent="0.25">
      <c r="A178" s="91">
        <v>790</v>
      </c>
      <c r="B178" s="92" t="s">
        <v>1557</v>
      </c>
      <c r="C178" s="96">
        <f>SUMIF(العمولة!$D$3:$D$13,ورقة1!B178,العمولة!$G$3:$G$14)</f>
        <v>0</v>
      </c>
    </row>
    <row r="179" spans="1:3" ht="18.75" hidden="1" x14ac:dyDescent="0.25">
      <c r="A179" s="91">
        <v>791</v>
      </c>
      <c r="B179" s="92" t="s">
        <v>1558</v>
      </c>
      <c r="C179" s="96">
        <f>SUMIF(العمولة!$D$3:$D$13,ورقة1!B179,العمولة!$G$3:$G$14)</f>
        <v>0</v>
      </c>
    </row>
    <row r="180" spans="1:3" ht="18.75" hidden="1" x14ac:dyDescent="0.25">
      <c r="A180" s="91">
        <v>792</v>
      </c>
      <c r="B180" s="92" t="s">
        <v>1559</v>
      </c>
      <c r="C180" s="96">
        <f>SUMIF(العمولة!$D$3:$D$13,ورقة1!B180,العمولة!$G$3:$G$14)</f>
        <v>0</v>
      </c>
    </row>
    <row r="181" spans="1:3" ht="18.75" hidden="1" x14ac:dyDescent="0.25">
      <c r="A181" s="91">
        <v>793</v>
      </c>
      <c r="B181" s="92" t="s">
        <v>1560</v>
      </c>
      <c r="C181" s="96">
        <f>SUMIF(العمولة!$D$3:$D$13,ورقة1!B181,العمولة!$G$3:$G$14)</f>
        <v>0</v>
      </c>
    </row>
    <row r="182" spans="1:3" ht="18.75" hidden="1" x14ac:dyDescent="0.25">
      <c r="A182" s="91">
        <v>794</v>
      </c>
      <c r="B182" s="92" t="s">
        <v>1561</v>
      </c>
      <c r="C182" s="96">
        <f>SUMIF(العمولة!$D$3:$D$13,ورقة1!B182,العمولة!$G$3:$G$14)</f>
        <v>0</v>
      </c>
    </row>
    <row r="183" spans="1:3" ht="18.75" x14ac:dyDescent="0.25">
      <c r="A183" s="91">
        <v>1324</v>
      </c>
      <c r="B183" s="92" t="s">
        <v>1359</v>
      </c>
      <c r="C183" s="96">
        <f>SUMIF(العمولة!$D$3:$D$13,ورقة1!B183,العمولة!$G$3:$G$14)</f>
        <v>1238.57</v>
      </c>
    </row>
    <row r="184" spans="1:3" ht="18.75" hidden="1" x14ac:dyDescent="0.25">
      <c r="A184" s="91">
        <v>1000000</v>
      </c>
      <c r="B184" s="92" t="s">
        <v>1562</v>
      </c>
      <c r="C184" s="96">
        <f>SUMIF(العمولة!$D$3:$D$13,ورقة1!B184,العمولة!$G$3:$G$14)</f>
        <v>0</v>
      </c>
    </row>
    <row r="185" spans="1:3" ht="18.75" hidden="1" x14ac:dyDescent="0.25">
      <c r="A185" s="91">
        <v>10000</v>
      </c>
      <c r="B185" s="92" t="s">
        <v>1563</v>
      </c>
      <c r="C185" s="96">
        <f>SUMIF(العمولة!$D$3:$D$13,ورقة1!B185,العمولة!$G$3:$G$14)</f>
        <v>0</v>
      </c>
    </row>
    <row r="186" spans="1:3" ht="18.75" hidden="1" x14ac:dyDescent="0.25">
      <c r="A186" s="91">
        <v>1000001</v>
      </c>
      <c r="B186" s="92" t="s">
        <v>1564</v>
      </c>
      <c r="C186" s="96">
        <f>SUMIF(العمولة!$D$3:$D$13,ورقة1!B186,العمولة!$G$3:$G$14)</f>
        <v>0</v>
      </c>
    </row>
    <row r="187" spans="1:3" ht="18.75" hidden="1" x14ac:dyDescent="0.25">
      <c r="A187" s="93">
        <v>4444</v>
      </c>
      <c r="B187" s="93" t="s">
        <v>1565</v>
      </c>
      <c r="C187" s="96">
        <f>SUMIF(العمولة!$D$3:$D$13,ورقة1!B187,العمولة!$G$3:$G$14)</f>
        <v>0</v>
      </c>
    </row>
    <row r="188" spans="1:3" ht="18.75" x14ac:dyDescent="0.25">
      <c r="A188" s="94" t="s">
        <v>1566</v>
      </c>
      <c r="B188" s="94"/>
      <c r="C188" s="96">
        <f>SUM(C2:C187)</f>
        <v>10422.2925</v>
      </c>
    </row>
  </sheetData>
  <autoFilter ref="A1:C188" xr:uid="{FC6DD9BB-218F-4A9D-AA42-2421D6B4E753}">
    <filterColumn colId="2">
      <filters>
        <filter val="1,238.57"/>
        <filter val="1,394.25"/>
        <filter val="1,604.45"/>
        <filter val="10,422.29"/>
        <filter val="2,475.31"/>
        <filter val="2,872.29"/>
        <filter val="837.44"/>
      </filters>
    </filterColumn>
  </autoFilter>
  <conditionalFormatting sqref="A1:A183 A186">
    <cfRule type="duplicateValues" dxfId="24" priority="22"/>
    <cfRule type="duplicateValues" dxfId="23" priority="23"/>
    <cfRule type="duplicateValues" dxfId="22" priority="25"/>
  </conditionalFormatting>
  <conditionalFormatting sqref="A184">
    <cfRule type="duplicateValues" dxfId="21" priority="2"/>
    <cfRule type="duplicateValues" dxfId="20" priority="3"/>
    <cfRule type="duplicateValues" dxfId="19" priority="5"/>
  </conditionalFormatting>
  <conditionalFormatting sqref="A185">
    <cfRule type="duplicateValues" dxfId="18" priority="9"/>
    <cfRule type="duplicateValues" dxfId="17" priority="10"/>
    <cfRule type="duplicateValues" dxfId="16" priority="12"/>
  </conditionalFormatting>
  <conditionalFormatting sqref="A187">
    <cfRule type="duplicateValues" dxfId="15" priority="14"/>
    <cfRule type="duplicateValues" dxfId="14" priority="15"/>
    <cfRule type="duplicateValues" dxfId="13" priority="16"/>
    <cfRule type="duplicateValues" dxfId="12" priority="17"/>
    <cfRule type="duplicateValues" dxfId="11" priority="19"/>
    <cfRule type="duplicateValues" dxfId="10" priority="20"/>
  </conditionalFormatting>
  <conditionalFormatting sqref="A187:B187">
    <cfRule type="duplicateValues" dxfId="9" priority="21"/>
  </conditionalFormatting>
  <conditionalFormatting sqref="A188:B188">
    <cfRule type="duplicateValues" dxfId="8" priority="6"/>
    <cfRule type="duplicateValues" dxfId="7" priority="7"/>
    <cfRule type="duplicateValues" dxfId="6" priority="8"/>
  </conditionalFormatting>
  <conditionalFormatting sqref="B1:B183 B186">
    <cfRule type="duplicateValues" dxfId="5" priority="24"/>
  </conditionalFormatting>
  <conditionalFormatting sqref="B184">
    <cfRule type="duplicateValues" dxfId="4" priority="4"/>
  </conditionalFormatting>
  <conditionalFormatting sqref="B185">
    <cfRule type="duplicateValues" dxfId="3" priority="11"/>
  </conditionalFormatting>
  <conditionalFormatting sqref="B187">
    <cfRule type="duplicateValues" dxfId="2" priority="13"/>
    <cfRule type="duplicateValues" dxfId="1" priority="18"/>
  </conditionalFormatting>
  <conditionalFormatting sqref="C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5</vt:i4>
      </vt:variant>
      <vt:variant>
        <vt:lpstr>النطاقات المسماة</vt:lpstr>
      </vt:variant>
      <vt:variant>
        <vt:i4>1</vt:i4>
      </vt:variant>
    </vt:vector>
  </HeadingPairs>
  <TitlesOfParts>
    <vt:vector size="6" baseType="lpstr">
      <vt:lpstr>Sheet1</vt:lpstr>
      <vt:lpstr>Comm</vt:lpstr>
      <vt:lpstr>Piv</vt:lpstr>
      <vt:lpstr>العمولة</vt:lpstr>
      <vt:lpstr>ورقة1</vt:lpstr>
      <vt:lpstr>العمولة!Print_Area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Dahab</dc:creator>
  <cp:lastModifiedBy>201126923449</cp:lastModifiedBy>
  <cp:lastPrinted>2025-11-27T15:41:17Z</cp:lastPrinted>
  <dcterms:created xsi:type="dcterms:W3CDTF">2025-11-26T13:39:31Z</dcterms:created>
  <dcterms:modified xsi:type="dcterms:W3CDTF">2025-12-05T16:20:47Z</dcterms:modified>
</cp:coreProperties>
</file>